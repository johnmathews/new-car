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5-Year Comparison" sheetId="1" state="visible" r:id="rId1"/>
    <sheet xmlns:r="http://schemas.openxmlformats.org/officeDocument/2006/relationships" name="EV Shortlist" sheetId="2" state="visible" r:id="rId2"/>
    <sheet xmlns:r="http://schemas.openxmlformats.org/officeDocument/2006/relationships" name="Features &amp; Trim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Notes &amp; Research" sheetId="5" state="visible" r:id="rId5"/>
    <sheet xmlns:r="http://schemas.openxmlformats.org/officeDocument/2006/relationships" name="Fuel Price Sensitivity" sheetId="6" state="visible" r:id="rId6"/>
    <sheet xmlns:r="http://schemas.openxmlformats.org/officeDocument/2006/relationships" name="Selling the Picasso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3C5E"/>
      <sz val="16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1A3C5E"/>
      <sz val="13"/>
    </font>
    <font>
      <name val="Arial"/>
      <charset val="1"/>
      <family val="0"/>
      <b val="1"/>
      <color rgb="FF006600"/>
      <sz val="11"/>
    </font>
    <font>
      <name val="Calibri"/>
      <charset val="1"/>
      <family val="0"/>
      <sz val="9"/>
    </font>
    <font>
      <name val="Calibri"/>
      <charset val="1"/>
      <family val="0"/>
      <b val="1"/>
      <color rgb="FFC0392B"/>
      <sz val="9"/>
    </font>
    <font>
      <name val="Calibri"/>
      <charset val="1"/>
      <family val="0"/>
      <b val="1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B45F06"/>
      <sz val="9"/>
    </font>
    <font>
      <name val="Arial"/>
      <charset val="1"/>
      <family val="0"/>
      <color rgb="FF2D8B4E"/>
      <sz val="9"/>
    </font>
    <font>
      <name val="Arial"/>
      <charset val="1"/>
      <family val="0"/>
      <color rgb="FFC0392B"/>
      <sz val="9"/>
    </font>
    <font>
      <name val="Arial"/>
      <charset val="1"/>
      <family val="0"/>
      <b val="1"/>
      <color rgb="FF2D8B4E"/>
      <sz val="12"/>
    </font>
    <font>
      <name val="Calibri"/>
      <charset val="1"/>
      <family val="0"/>
      <b val="1"/>
      <color rgb="FF1A3C5E"/>
      <sz val="10"/>
    </font>
    <font>
      <name val="Calibri"/>
      <charset val="1"/>
      <family val="0"/>
      <color rgb="FF666666"/>
      <sz val="9"/>
    </font>
    <font>
      <name val="Calibri"/>
      <charset val="1"/>
      <family val="0"/>
      <b val="1"/>
      <color rgb="FF1A3C5E"/>
      <sz val="11"/>
    </font>
    <font>
      <name val="Calibri"/>
      <charset val="1"/>
      <family val="0"/>
      <color rgb="FF888888"/>
      <sz val="9"/>
    </font>
    <font>
      <name val="Calibri"/>
      <charset val="1"/>
      <family val="0"/>
      <b val="1"/>
      <color rgb="FFFFFFFF"/>
      <sz val="9"/>
    </font>
    <font>
      <name val="Arial"/>
      <charset val="1"/>
      <family val="0"/>
      <color rgb="FF0000FF"/>
      <sz val="11"/>
    </font>
    <font>
      <name val="Arial"/>
      <charset val="1"/>
      <family val="0"/>
      <b val="1"/>
      <i val="1"/>
      <color rgb="FFED7D31"/>
      <sz val="10"/>
    </font>
    <font>
      <name val="Arial"/>
      <charset val="1"/>
      <family val="0"/>
      <b val="1"/>
      <color rgb="FFED7D31"/>
      <sz val="11"/>
    </font>
  </fonts>
  <fills count="16">
    <fill>
      <patternFill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F2F2F2"/>
        <bgColor rgb="FFE8F5E9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E8F5E9"/>
      </patternFill>
    </fill>
    <fill>
      <patternFill patternType="solid">
        <fgColor rgb="FF2E75B6"/>
        <bgColor rgb="FF4472C4"/>
      </patternFill>
    </fill>
    <fill>
      <patternFill patternType="solid">
        <fgColor rgb="FFC6EFCE"/>
        <bgColor rgb="FFD6E4F0"/>
      </patternFill>
    </fill>
    <fill>
      <patternFill patternType="solid">
        <fgColor rgb="FF4472C4"/>
        <bgColor rgb="FF2E75B6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FFF2CC"/>
      </patternFill>
    </fill>
    <fill>
      <patternFill patternType="solid">
        <fgColor rgb="FFE8F5E9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left" vertical="center"/>
    </xf>
    <xf numFmtId="3" fontId="8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3" fontId="8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9" fillId="7" borderId="1" applyAlignment="1" pivotButton="0" quotePrefix="0" xfId="0">
      <alignment horizontal="left" vertical="center"/>
    </xf>
    <xf numFmtId="3" fontId="9" fillId="7" borderId="1" applyAlignment="1" pivotButton="0" quotePrefix="0" xfId="0">
      <alignment horizontal="right" vertical="center"/>
    </xf>
    <xf numFmtId="0" fontId="7" fillId="8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left" vertical="center"/>
    </xf>
    <xf numFmtId="3" fontId="9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3" fontId="9" fillId="4" borderId="1" applyAlignment="1" pivotButton="0" quotePrefix="0" xfId="0">
      <alignment horizontal="right" vertical="center"/>
    </xf>
    <xf numFmtId="3" fontId="8" fillId="4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left" vertical="center"/>
    </xf>
    <xf numFmtId="3" fontId="11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2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4" fillId="11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2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27" fillId="12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right" vertical="center"/>
    </xf>
    <xf numFmtId="4" fontId="27" fillId="12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27" fillId="12" borderId="1" applyAlignment="1" pivotButton="0" quotePrefix="0" xfId="0">
      <alignment horizontal="right" vertical="center"/>
    </xf>
    <xf numFmtId="4" fontId="8" fillId="4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4" fontId="27" fillId="9" borderId="1" applyAlignment="1" pivotButton="0" quotePrefix="0" xfId="0">
      <alignment horizontal="general" vertical="bottom"/>
    </xf>
    <xf numFmtId="3" fontId="9" fillId="9" borderId="1" applyAlignment="1" pivotButton="0" quotePrefix="0" xfId="0">
      <alignment horizontal="general" vertical="bottom"/>
    </xf>
    <xf numFmtId="3" fontId="8" fillId="9" borderId="1" applyAlignment="1" pivotButton="0" quotePrefix="0" xfId="0">
      <alignment horizontal="general" vertical="bottom"/>
    </xf>
    <xf numFmtId="0" fontId="28" fillId="0" borderId="1" applyAlignment="1" pivotButton="0" quotePrefix="0" xfId="0">
      <alignment horizontal="general" vertical="bottom"/>
    </xf>
    <xf numFmtId="4" fontId="8" fillId="4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3" fontId="9" fillId="4" borderId="1" applyAlignment="1" pivotButton="0" quotePrefix="0" xfId="0">
      <alignment horizontal="general" vertical="bottom"/>
    </xf>
    <xf numFmtId="4" fontId="8" fillId="3" borderId="1" applyAlignment="1" pivotButton="0" quotePrefix="0" xfId="0">
      <alignment horizontal="general" vertical="bottom"/>
    </xf>
    <xf numFmtId="3" fontId="8" fillId="3" borderId="1" applyAlignment="1" pivotButton="0" quotePrefix="0" xfId="0">
      <alignment horizontal="general" vertical="bottom"/>
    </xf>
    <xf numFmtId="3" fontId="9" fillId="3" borderId="1" applyAlignment="1" pivotButton="0" quotePrefix="0" xfId="0">
      <alignment horizontal="general" vertical="bottom"/>
    </xf>
    <xf numFmtId="3" fontId="11" fillId="9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3" fontId="11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3" fontId="27" fillId="12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3" fontId="29" fillId="0" borderId="1" applyAlignment="1" pivotButton="0" quotePrefix="0" xfId="0">
      <alignment horizontal="general" vertical="bottom"/>
    </xf>
    <xf numFmtId="0" fontId="9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left" vertical="center"/>
    </xf>
    <xf numFmtId="3" fontId="8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3" fontId="8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9" fillId="7" borderId="1" applyAlignment="1" pivotButton="0" quotePrefix="0" xfId="0">
      <alignment horizontal="left" vertical="center"/>
    </xf>
    <xf numFmtId="3" fontId="9" fillId="7" borderId="1" applyAlignment="1" pivotButton="0" quotePrefix="0" xfId="0">
      <alignment horizontal="right" vertical="center"/>
    </xf>
    <xf numFmtId="0" fontId="7" fillId="8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left" vertical="center"/>
    </xf>
    <xf numFmtId="3" fontId="9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3" fontId="9" fillId="4" borderId="1" applyAlignment="1" pivotButton="0" quotePrefix="0" xfId="0">
      <alignment horizontal="right" vertical="center"/>
    </xf>
    <xf numFmtId="3" fontId="8" fillId="4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left" vertical="center"/>
    </xf>
    <xf numFmtId="3" fontId="11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2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4" fillId="11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26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27" fillId="12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right" vertical="center"/>
    </xf>
    <xf numFmtId="4" fontId="27" fillId="12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27" fillId="12" borderId="1" applyAlignment="1" pivotButton="0" quotePrefix="0" xfId="0">
      <alignment horizontal="right" vertical="center"/>
    </xf>
    <xf numFmtId="4" fontId="8" fillId="4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4" fontId="27" fillId="9" borderId="1" applyAlignment="1" pivotButton="0" quotePrefix="0" xfId="0">
      <alignment horizontal="general" vertical="bottom"/>
    </xf>
    <xf numFmtId="3" fontId="9" fillId="9" borderId="1" applyAlignment="1" pivotButton="0" quotePrefix="0" xfId="0">
      <alignment horizontal="general" vertical="bottom"/>
    </xf>
    <xf numFmtId="3" fontId="8" fillId="9" borderId="1" applyAlignment="1" pivotButton="0" quotePrefix="0" xfId="0">
      <alignment horizontal="general" vertical="bottom"/>
    </xf>
    <xf numFmtId="0" fontId="28" fillId="0" borderId="1" applyAlignment="1" pivotButton="0" quotePrefix="0" xfId="0">
      <alignment horizontal="general" vertical="bottom"/>
    </xf>
    <xf numFmtId="4" fontId="8" fillId="4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3" fontId="9" fillId="4" borderId="1" applyAlignment="1" pivotButton="0" quotePrefix="0" xfId="0">
      <alignment horizontal="general" vertical="bottom"/>
    </xf>
    <xf numFmtId="4" fontId="8" fillId="3" borderId="1" applyAlignment="1" pivotButton="0" quotePrefix="0" xfId="0">
      <alignment horizontal="general" vertical="bottom"/>
    </xf>
    <xf numFmtId="3" fontId="8" fillId="3" borderId="1" applyAlignment="1" pivotButton="0" quotePrefix="0" xfId="0">
      <alignment horizontal="general" vertical="bottom"/>
    </xf>
    <xf numFmtId="3" fontId="9" fillId="3" borderId="1" applyAlignment="1" pivotButton="0" quotePrefix="0" xfId="0">
      <alignment horizontal="general" vertical="bottom"/>
    </xf>
    <xf numFmtId="3" fontId="11" fillId="9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3" fontId="11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3" fontId="27" fillId="12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3" fontId="29" fillId="0" borderId="1" applyAlignment="1" pivotButton="0" quotePrefix="0" xfId="0">
      <alignment horizontal="general" vertical="bottom"/>
    </xf>
    <xf numFmtId="0" fontId="9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0" fillId="14" borderId="0" pivotButton="0" quotePrefix="0" xfId="0"/>
    <xf numFmtId="0" fontId="0" fillId="13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B45F06"/>
      <rgbColor rgb="FF800080"/>
      <rgbColor rgb="FF008080"/>
      <rgbColor rgb="FFC0C0C0"/>
      <rgbColor rgb="FF888888"/>
      <rgbColor rgb="FF9999FF"/>
      <rgbColor rgb="FF7030A0"/>
      <rgbColor rgb="FFFFF2CC"/>
      <rgbColor rgb="FFE8F5E9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FF9900"/>
      <rgbColor rgb="FFED7D31"/>
      <rgbColor rgb="FF666666"/>
      <rgbColor rgb="FF70AD47"/>
      <rgbColor rgb="FF1A3C5E"/>
      <rgbColor rgb="FF2D8B4E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B1:H4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" customWidth="1" style="135" min="1" max="1"/>
    <col width="35" customWidth="1" style="135" min="2" max="2"/>
    <col width="16" customWidth="1" style="135" min="3" max="8"/>
  </cols>
  <sheetData>
    <row r="1" ht="19.5" customHeight="1" s="136">
      <c r="B1" s="137" t="inlineStr">
        <is>
          <t>5-Year Total Cost of Ownership Comparison</t>
        </is>
      </c>
    </row>
    <row r="2" ht="15" customHeight="1" s="136">
      <c r="B2" s="138" t="inlineStr">
        <is>
          <t>All costs in EUR. Compares keeping current car vs. switching to EV.</t>
        </is>
      </c>
    </row>
    <row r="4" ht="15" customHeight="1" s="136">
      <c r="B4" s="139" t="inlineStr">
        <is>
          <t>Cost Category</t>
        </is>
      </c>
      <c r="C4" s="139" t="inlineStr">
        <is>
          <t>Year 1</t>
        </is>
      </c>
      <c r="D4" s="139" t="inlineStr">
        <is>
          <t>Year 2</t>
        </is>
      </c>
      <c r="E4" s="139" t="inlineStr">
        <is>
          <t>Year 3</t>
        </is>
      </c>
      <c r="F4" s="139" t="inlineStr">
        <is>
          <t>Year 4</t>
        </is>
      </c>
      <c r="G4" s="139" t="inlineStr">
        <is>
          <t>Year 5</t>
        </is>
      </c>
      <c r="H4" s="139" t="inlineStr">
        <is>
          <t>5-Year Total</t>
        </is>
      </c>
    </row>
    <row r="5" ht="15" customHeight="1" s="136">
      <c r="B5" s="140" t="inlineStr">
        <is>
          <t>SCENARIO A: Keep Citroën Grand C4 Picasso</t>
        </is>
      </c>
      <c r="C5" s="141" t="n"/>
      <c r="D5" s="141" t="n"/>
      <c r="E5" s="141" t="n"/>
      <c r="F5" s="141" t="n"/>
      <c r="G5" s="141" t="n"/>
      <c r="H5" s="141" t="n"/>
    </row>
    <row r="6" ht="15" customHeight="1" s="136">
      <c r="B6" s="142" t="inlineStr">
        <is>
          <t>Fuel cost</t>
        </is>
      </c>
      <c r="C6" s="143">
        <f>Assumptions!C17</f>
        <v/>
      </c>
      <c r="D6" s="143">
        <f>Assumptions!C17</f>
        <v/>
      </c>
      <c r="E6" s="143">
        <f>Assumptions!C17</f>
        <v/>
      </c>
      <c r="F6" s="143">
        <f>Assumptions!C17</f>
        <v/>
      </c>
      <c r="G6" s="143">
        <f>Assumptions!C17</f>
        <v/>
      </c>
      <c r="H6" s="143">
        <f>SUM(C6:G6)</f>
        <v/>
      </c>
    </row>
    <row r="7" ht="15" customHeight="1" s="136">
      <c r="B7" s="144" t="inlineStr">
        <is>
          <t>Road tax</t>
        </is>
      </c>
      <c r="C7" s="145">
        <f>Assumptions!C18</f>
        <v/>
      </c>
      <c r="D7" s="145">
        <f>Assumptions!C18</f>
        <v/>
      </c>
      <c r="E7" s="145">
        <f>Assumptions!C18</f>
        <v/>
      </c>
      <c r="F7" s="145">
        <f>Assumptions!C18</f>
        <v/>
      </c>
      <c r="G7" s="145">
        <f>Assumptions!C18</f>
        <v/>
      </c>
      <c r="H7" s="145">
        <f>SUM(C7:G7)</f>
        <v/>
      </c>
    </row>
    <row r="8" ht="15" customHeight="1" s="136">
      <c r="B8" s="142" t="inlineStr">
        <is>
          <t>Insurance</t>
        </is>
      </c>
      <c r="C8" s="143">
        <f>Assumptions!C19</f>
        <v/>
      </c>
      <c r="D8" s="143">
        <f>Assumptions!C19</f>
        <v/>
      </c>
      <c r="E8" s="143">
        <f>Assumptions!C19</f>
        <v/>
      </c>
      <c r="F8" s="143">
        <f>Assumptions!C19</f>
        <v/>
      </c>
      <c r="G8" s="143">
        <f>Assumptions!C19</f>
        <v/>
      </c>
      <c r="H8" s="143">
        <f>SUM(C8:G8)</f>
        <v/>
      </c>
    </row>
    <row r="9" ht="15" customHeight="1" s="136">
      <c r="B9" s="144" t="inlineStr">
        <is>
          <t>Maintenance &amp; repairs</t>
        </is>
      </c>
      <c r="C9" s="145">
        <f>Assumptions!C20</f>
        <v/>
      </c>
      <c r="D9" s="145">
        <f>Assumptions!C20</f>
        <v/>
      </c>
      <c r="E9" s="145">
        <f>Assumptions!C20*1.1</f>
        <v/>
      </c>
      <c r="F9" s="145">
        <f>Assumptions!C20*1.15</f>
        <v/>
      </c>
      <c r="G9" s="145">
        <f>Assumptions!C20*1.2</f>
        <v/>
      </c>
      <c r="H9" s="145">
        <f>SUM(C9:G9)</f>
        <v/>
      </c>
    </row>
    <row r="10" ht="15" customHeight="1" s="136">
      <c r="B10" s="142" t="inlineStr">
        <is>
          <t>Depreciation (opportunity cost)</t>
        </is>
      </c>
      <c r="C10" s="143" t="n">
        <v>1100</v>
      </c>
      <c r="D10" s="143" t="n">
        <v>1100</v>
      </c>
      <c r="E10" s="143" t="n">
        <v>1100</v>
      </c>
      <c r="F10" s="143" t="n">
        <v>1100</v>
      </c>
      <c r="G10" s="143" t="n">
        <v>1100</v>
      </c>
      <c r="H10" s="143">
        <f>SUM(C10:G10)</f>
        <v/>
      </c>
    </row>
    <row r="11" ht="15" customHeight="1" s="136">
      <c r="B11" s="146" t="inlineStr">
        <is>
          <t>TOTAL ANNUAL COST</t>
        </is>
      </c>
      <c r="C11" s="147">
        <f>SUM(C6:C10)</f>
        <v/>
      </c>
      <c r="D11" s="147">
        <f>SUM(D6:D10)</f>
        <v/>
      </c>
      <c r="E11" s="147">
        <f>SUM(E6:E10)</f>
        <v/>
      </c>
      <c r="F11" s="147">
        <f>SUM(F6:F10)</f>
        <v/>
      </c>
      <c r="G11" s="147">
        <f>SUM(G6:G10)</f>
        <v/>
      </c>
      <c r="H11" s="147">
        <f>SUM(C11:G11)</f>
        <v/>
      </c>
    </row>
    <row r="13" ht="15" customHeight="1" s="136">
      <c r="B13" s="148" t="inlineStr">
        <is>
          <t>SCENARIO B: Large Family EV (Ioniq 5 / Enyaq)</t>
        </is>
      </c>
      <c r="C13" s="149" t="n"/>
      <c r="D13" s="149" t="n"/>
      <c r="E13" s="149" t="n"/>
      <c r="F13" s="149" t="n"/>
      <c r="G13" s="149" t="n"/>
      <c r="H13" s="149" t="n"/>
    </row>
    <row r="14" ht="15" customHeight="1" s="136">
      <c r="B14" s="142" t="inlineStr">
        <is>
          <t>Purchase price</t>
        </is>
      </c>
      <c r="C14" s="143">
        <f>Assumptions!C26</f>
        <v/>
      </c>
      <c r="D14" s="143" t="n">
        <v>0</v>
      </c>
      <c r="E14" s="143" t="n">
        <v>0</v>
      </c>
      <c r="F14" s="143" t="n">
        <v>0</v>
      </c>
      <c r="G14" s="143" t="n">
        <v>0</v>
      </c>
      <c r="H14" s="143">
        <f>C14</f>
        <v/>
      </c>
    </row>
    <row r="15" ht="15" customHeight="1" s="136">
      <c r="B15" s="144" t="inlineStr">
        <is>
          <t>Less: sale of Picasso</t>
        </is>
      </c>
      <c r="C15" s="145">
        <f>-Assumptions!C21</f>
        <v/>
      </c>
      <c r="D15" s="145" t="n">
        <v>0</v>
      </c>
      <c r="E15" s="145" t="n">
        <v>0</v>
      </c>
      <c r="F15" s="145" t="n">
        <v>0</v>
      </c>
      <c r="G15" s="145" t="n">
        <v>0</v>
      </c>
      <c r="H15" s="145">
        <f>-Assumptions!C21</f>
        <v/>
      </c>
    </row>
    <row r="16" ht="15" customHeight="1" s="136">
      <c r="B16" s="142" t="inlineStr">
        <is>
          <t>Wallbox installation</t>
        </is>
      </c>
      <c r="C16" s="143">
        <f>Assumptions!C38</f>
        <v/>
      </c>
      <c r="D16" s="143" t="n">
        <v>0</v>
      </c>
      <c r="E16" s="143" t="n">
        <v>0</v>
      </c>
      <c r="F16" s="143" t="n">
        <v>0</v>
      </c>
      <c r="G16" s="143" t="n">
        <v>0</v>
      </c>
      <c r="H16" s="143">
        <f>C16</f>
        <v/>
      </c>
    </row>
    <row r="17" ht="15" customHeight="1" s="136">
      <c r="B17" s="146" t="inlineStr">
        <is>
          <t>Net upfront cost</t>
        </is>
      </c>
      <c r="C17" s="147">
        <f>C14+C15+C16</f>
        <v/>
      </c>
      <c r="D17" s="147" t="n"/>
      <c r="E17" s="147" t="n"/>
      <c r="F17" s="147" t="n"/>
      <c r="G17" s="147" t="n"/>
      <c r="H17" s="147">
        <f>H14+H15+H16</f>
        <v/>
      </c>
    </row>
    <row r="18" ht="15" customHeight="1" s="136">
      <c r="B18" s="142" t="inlineStr">
        <is>
          <t>Electricity cost</t>
        </is>
      </c>
      <c r="C18" s="143">
        <f>Assumptions!C32</f>
        <v/>
      </c>
      <c r="D18" s="143">
        <f>Assumptions!C32</f>
        <v/>
      </c>
      <c r="E18" s="143">
        <f>Assumptions!C32</f>
        <v/>
      </c>
      <c r="F18" s="143">
        <f>Assumptions!C32</f>
        <v/>
      </c>
      <c r="G18" s="143">
        <f>Assumptions!C32</f>
        <v/>
      </c>
      <c r="H18" s="143">
        <f>SUM(C18:G18)</f>
        <v/>
      </c>
    </row>
    <row r="19" ht="15" customHeight="1" s="136">
      <c r="B19" s="144" t="inlineStr">
        <is>
          <t>Road tax</t>
        </is>
      </c>
      <c r="C19" s="145">
        <f>Assumptions!C33</f>
        <v/>
      </c>
      <c r="D19" s="145">
        <f>Assumptions!C33</f>
        <v/>
      </c>
      <c r="E19" s="145">
        <f>Assumptions!C33</f>
        <v/>
      </c>
      <c r="F19" s="145">
        <f>Assumptions!C34</f>
        <v/>
      </c>
      <c r="G19" s="145">
        <f>Assumptions!C35</f>
        <v/>
      </c>
      <c r="H19" s="145">
        <f>SUM(C19:G19)</f>
        <v/>
      </c>
    </row>
    <row r="20" ht="15" customHeight="1" s="136">
      <c r="B20" s="142" t="inlineStr">
        <is>
          <t>Insurance</t>
        </is>
      </c>
      <c r="C20" s="143">
        <f>Assumptions!C36</f>
        <v/>
      </c>
      <c r="D20" s="143">
        <f>Assumptions!C36</f>
        <v/>
      </c>
      <c r="E20" s="143">
        <f>Assumptions!C36</f>
        <v/>
      </c>
      <c r="F20" s="143">
        <f>Assumptions!C36</f>
        <v/>
      </c>
      <c r="G20" s="143">
        <f>Assumptions!C36</f>
        <v/>
      </c>
      <c r="H20" s="143">
        <f>SUM(C20:G20)</f>
        <v/>
      </c>
    </row>
    <row r="21" ht="15" customHeight="1" s="136">
      <c r="B21" s="144" t="inlineStr">
        <is>
          <t>Maintenance</t>
        </is>
      </c>
      <c r="C21" s="145">
        <f>Assumptions!C37</f>
        <v/>
      </c>
      <c r="D21" s="145">
        <f>Assumptions!C37</f>
        <v/>
      </c>
      <c r="E21" s="145">
        <f>Assumptions!C37</f>
        <v/>
      </c>
      <c r="F21" s="145">
        <f>Assumptions!C37</f>
        <v/>
      </c>
      <c r="G21" s="145">
        <f>Assumptions!C37</f>
        <v/>
      </c>
      <c r="H21" s="145">
        <f>SUM(C21:G21)</f>
        <v/>
      </c>
    </row>
    <row r="22" ht="15" customHeight="1" s="136">
      <c r="B22" s="142" t="inlineStr">
        <is>
          <t>Less: resale value at end</t>
        </is>
      </c>
      <c r="C22" s="143" t="n">
        <v>0</v>
      </c>
      <c r="D22" s="143" t="n">
        <v>0</v>
      </c>
      <c r="E22" s="143" t="n">
        <v>0</v>
      </c>
      <c r="F22" s="143" t="n">
        <v>0</v>
      </c>
      <c r="G22" s="143">
        <f>-Assumptions!C39</f>
        <v/>
      </c>
      <c r="H22" s="143">
        <f>G22</f>
        <v/>
      </c>
    </row>
    <row r="23" ht="15" customHeight="1" s="136">
      <c r="B23" s="150" t="inlineStr">
        <is>
          <t>TOTAL 5-YEAR COST</t>
        </is>
      </c>
      <c r="C23" s="151" t="n"/>
      <c r="D23" s="151" t="n"/>
      <c r="E23" s="151" t="n"/>
      <c r="F23" s="151" t="n"/>
      <c r="G23" s="151" t="n"/>
      <c r="H23" s="151">
        <f>H17+H18+H19+H20+H21+H22</f>
        <v/>
      </c>
    </row>
    <row r="25" ht="15" customHeight="1" s="136">
      <c r="B25" s="152" t="inlineStr">
        <is>
          <t>SCENARIO C: Small EV + Vacation Rental</t>
        </is>
      </c>
      <c r="C25" s="153" t="n"/>
      <c r="D25" s="153" t="n"/>
      <c r="E25" s="153" t="n"/>
      <c r="F25" s="153" t="n"/>
      <c r="G25" s="153" t="n"/>
      <c r="H25" s="153" t="n"/>
    </row>
    <row r="26" ht="15" customHeight="1" s="136">
      <c r="B26" s="142" t="inlineStr">
        <is>
          <t>Purchase price</t>
        </is>
      </c>
      <c r="C26" s="143">
        <f>Assumptions!C43</f>
        <v/>
      </c>
      <c r="D26" s="143" t="n">
        <v>0</v>
      </c>
      <c r="E26" s="143" t="n">
        <v>0</v>
      </c>
      <c r="F26" s="143" t="n">
        <v>0</v>
      </c>
      <c r="G26" s="143" t="n">
        <v>0</v>
      </c>
      <c r="H26" s="143">
        <f>C26</f>
        <v/>
      </c>
    </row>
    <row r="27" ht="15" customHeight="1" s="136">
      <c r="B27" s="144" t="inlineStr">
        <is>
          <t>Less: sale of Picasso</t>
        </is>
      </c>
      <c r="C27" s="145">
        <f>-Assumptions!C21</f>
        <v/>
      </c>
      <c r="D27" s="145" t="n">
        <v>0</v>
      </c>
      <c r="E27" s="145" t="n">
        <v>0</v>
      </c>
      <c r="F27" s="145" t="n">
        <v>0</v>
      </c>
      <c r="G27" s="145" t="n">
        <v>0</v>
      </c>
      <c r="H27" s="145">
        <f>C27</f>
        <v/>
      </c>
    </row>
    <row r="28" ht="15" customHeight="1" s="136">
      <c r="B28" s="142" t="inlineStr">
        <is>
          <t>Wallbox installation</t>
        </is>
      </c>
      <c r="C28" s="143">
        <f>Assumptions!C52</f>
        <v/>
      </c>
      <c r="D28" s="143" t="n">
        <v>0</v>
      </c>
      <c r="E28" s="143" t="n">
        <v>0</v>
      </c>
      <c r="F28" s="143" t="n">
        <v>0</v>
      </c>
      <c r="G28" s="143" t="n">
        <v>0</v>
      </c>
      <c r="H28" s="143">
        <f>C28</f>
        <v/>
      </c>
    </row>
    <row r="29" ht="15" customHeight="1" s="136">
      <c r="B29" s="146" t="inlineStr">
        <is>
          <t>Net upfront cost</t>
        </is>
      </c>
      <c r="C29" s="147">
        <f>C26+C27+C28</f>
        <v/>
      </c>
      <c r="D29" s="147" t="n"/>
      <c r="E29" s="147" t="n"/>
      <c r="F29" s="147" t="n"/>
      <c r="G29" s="147" t="n"/>
      <c r="H29" s="147">
        <f>C29</f>
        <v/>
      </c>
    </row>
    <row r="30" ht="15" customHeight="1" s="136">
      <c r="B30" s="142" t="inlineStr">
        <is>
          <t>Electricity cost (daily driving)</t>
        </is>
      </c>
      <c r="C30" s="143">
        <f>Assumptions!C46</f>
        <v/>
      </c>
      <c r="D30" s="143">
        <f>Assumptions!C46</f>
        <v/>
      </c>
      <c r="E30" s="143">
        <f>Assumptions!C46</f>
        <v/>
      </c>
      <c r="F30" s="143">
        <f>Assumptions!C46</f>
        <v/>
      </c>
      <c r="G30" s="143">
        <f>Assumptions!C46</f>
        <v/>
      </c>
      <c r="H30" s="143">
        <f>SUM(C30:G30)</f>
        <v/>
      </c>
    </row>
    <row r="31" ht="15" customHeight="1" s="136">
      <c r="B31" s="144" t="inlineStr">
        <is>
          <t>Vacation rental cost</t>
        </is>
      </c>
      <c r="C31" s="145">
        <f>Assumptions!C55</f>
        <v/>
      </c>
      <c r="D31" s="145">
        <f>Assumptions!C55</f>
        <v/>
      </c>
      <c r="E31" s="145">
        <f>Assumptions!C55</f>
        <v/>
      </c>
      <c r="F31" s="145">
        <f>Assumptions!C55</f>
        <v/>
      </c>
      <c r="G31" s="145">
        <f>Assumptions!C55</f>
        <v/>
      </c>
      <c r="H31" s="145">
        <f>SUM(C31:G31)</f>
        <v/>
      </c>
    </row>
    <row r="32" ht="15" customHeight="1" s="136">
      <c r="B32" s="142" t="inlineStr">
        <is>
          <t>Road tax</t>
        </is>
      </c>
      <c r="C32" s="143">
        <f>Assumptions!C47</f>
        <v/>
      </c>
      <c r="D32" s="143">
        <f>Assumptions!C47</f>
        <v/>
      </c>
      <c r="E32" s="143">
        <f>Assumptions!C47</f>
        <v/>
      </c>
      <c r="F32" s="143">
        <f>Assumptions!C48</f>
        <v/>
      </c>
      <c r="G32" s="143">
        <f>Assumptions!C49</f>
        <v/>
      </c>
      <c r="H32" s="143">
        <f>SUM(C32:G32)</f>
        <v/>
      </c>
    </row>
    <row r="33" ht="15" customHeight="1" s="136">
      <c r="B33" s="144" t="inlineStr">
        <is>
          <t>Insurance</t>
        </is>
      </c>
      <c r="C33" s="145">
        <f>Assumptions!C50</f>
        <v/>
      </c>
      <c r="D33" s="145">
        <f>Assumptions!C50</f>
        <v/>
      </c>
      <c r="E33" s="145">
        <f>Assumptions!C50</f>
        <v/>
      </c>
      <c r="F33" s="145">
        <f>Assumptions!C50</f>
        <v/>
      </c>
      <c r="G33" s="145">
        <f>Assumptions!C50</f>
        <v/>
      </c>
      <c r="H33" s="145">
        <f>SUM(C33:G33)</f>
        <v/>
      </c>
    </row>
    <row r="34" ht="15" customHeight="1" s="136">
      <c r="B34" s="142" t="inlineStr">
        <is>
          <t>Maintenance</t>
        </is>
      </c>
      <c r="C34" s="143">
        <f>Assumptions!C51</f>
        <v/>
      </c>
      <c r="D34" s="143">
        <f>Assumptions!C51</f>
        <v/>
      </c>
      <c r="E34" s="143">
        <f>Assumptions!C51</f>
        <v/>
      </c>
      <c r="F34" s="143">
        <f>Assumptions!C51</f>
        <v/>
      </c>
      <c r="G34" s="143">
        <f>Assumptions!C51</f>
        <v/>
      </c>
      <c r="H34" s="143">
        <f>SUM(C34:G34)</f>
        <v/>
      </c>
    </row>
    <row r="35" ht="15" customHeight="1" s="136">
      <c r="B35" s="144" t="inlineStr">
        <is>
          <t>Less: resale value at end</t>
        </is>
      </c>
      <c r="C35" s="145" t="n">
        <v>0</v>
      </c>
      <c r="D35" s="145" t="n">
        <v>0</v>
      </c>
      <c r="E35" s="145" t="n">
        <v>0</v>
      </c>
      <c r="F35" s="145" t="n">
        <v>0</v>
      </c>
      <c r="G35" s="145">
        <f>-Assumptions!C56</f>
        <v/>
      </c>
      <c r="H35" s="145">
        <f>G35</f>
        <v/>
      </c>
    </row>
    <row r="36" ht="15" customHeight="1" s="136">
      <c r="B36" s="150" t="inlineStr">
        <is>
          <t>TOTAL 5-YEAR COST</t>
        </is>
      </c>
      <c r="C36" s="151" t="n"/>
      <c r="D36" s="151" t="n"/>
      <c r="E36" s="151" t="n"/>
      <c r="F36" s="151" t="n"/>
      <c r="G36" s="151" t="n"/>
      <c r="H36" s="151">
        <f>H29+H30+H31+H32+H33+H34+H35</f>
        <v/>
      </c>
    </row>
    <row r="38" ht="15.75" customHeight="1" s="136">
      <c r="B38" s="154" t="inlineStr">
        <is>
          <t>COST SUMMARY PER SCENARIO</t>
        </is>
      </c>
      <c r="C38" s="155" t="n"/>
      <c r="D38" s="155" t="n"/>
      <c r="E38" s="155" t="n"/>
      <c r="F38" s="155" t="n"/>
      <c r="G38" s="155" t="n"/>
      <c r="H38" s="155" t="n"/>
    </row>
    <row r="39" ht="15" customHeight="1" s="136">
      <c r="B39" s="139" t="inlineStr">
        <is>
          <t>Scenario</t>
        </is>
      </c>
      <c r="C39" s="139" t="inlineStr">
        <is>
          <t>Year 1 Total</t>
        </is>
      </c>
      <c r="D39" s="139" t="inlineStr">
        <is>
          <t>Avg Annual (Yr 1-3)</t>
        </is>
      </c>
      <c r="E39" s="139" t="inlineStr">
        <is>
          <t>Avg Annual (Yr 1-5)</t>
        </is>
      </c>
      <c r="F39" s="139" t="inlineStr">
        <is>
          <t>5-Year Grand Total</t>
        </is>
      </c>
      <c r="G39" s="155" t="n"/>
      <c r="H39" s="155" t="n"/>
    </row>
    <row r="40" ht="15" customHeight="1" s="136">
      <c r="B40" s="156" t="inlineStr">
        <is>
          <t>A: Keep Picasso</t>
        </is>
      </c>
      <c r="C40" s="157">
        <f>C11</f>
        <v/>
      </c>
      <c r="D40" s="157">
        <f>SUM(C11:E11)/3</f>
        <v/>
      </c>
      <c r="E40" s="157">
        <f>H11/5</f>
        <v/>
      </c>
      <c r="F40" s="157">
        <f>H11</f>
        <v/>
      </c>
      <c r="G40" s="155" t="n"/>
      <c r="H40" s="155" t="n"/>
    </row>
    <row r="41" ht="15" customHeight="1" s="136">
      <c r="B41" s="158" t="inlineStr">
        <is>
          <t>B: Large Family EV</t>
        </is>
      </c>
      <c r="C41" s="159">
        <f>C17+C18+C19+C20+C21</f>
        <v/>
      </c>
      <c r="D41" s="159">
        <f>(C17+C18+C19+C20+C21 + D18+D19+D20+D21 + E18+E19+E20+E21)/3</f>
        <v/>
      </c>
      <c r="E41" s="159">
        <f>H23/5</f>
        <v/>
      </c>
      <c r="F41" s="159">
        <f>H23</f>
        <v/>
      </c>
      <c r="G41" s="155" t="n"/>
      <c r="H41" s="155" t="n"/>
    </row>
    <row r="42" ht="15" customHeight="1" s="136">
      <c r="B42" s="156" t="inlineStr">
        <is>
          <t>C: Small EV + Rental</t>
        </is>
      </c>
      <c r="C42" s="157">
        <f>C29+C30+C31+C32+C33+C34</f>
        <v/>
      </c>
      <c r="D42" s="157">
        <f>(C29+C30+C31+C32+C33+C34 + D30+D31+D32+D33+D34 + E30+E31+E32+E33+E34)/3</f>
        <v/>
      </c>
      <c r="E42" s="157">
        <f>H36/5</f>
        <v/>
      </c>
      <c r="F42" s="157">
        <f>H36</f>
        <v/>
      </c>
      <c r="G42" s="155" t="n"/>
      <c r="H42" s="155" t="n"/>
    </row>
    <row r="43" ht="17.25" customHeight="1" s="136">
      <c r="B43" s="155" t="n"/>
      <c r="C43" s="155" t="n"/>
      <c r="D43" s="155" t="n"/>
      <c r="E43" s="155" t="n"/>
      <c r="F43" s="155" t="n"/>
      <c r="G43" s="155" t="n"/>
      <c r="H43" s="155" t="n"/>
    </row>
    <row r="44" ht="15" customHeight="1" s="136">
      <c r="B44" s="154" t="inlineStr">
        <is>
          <t>SAVINGS vs. KEEPING PICASSO</t>
        </is>
      </c>
      <c r="C44" s="160" t="n"/>
      <c r="D44" s="155" t="n"/>
      <c r="E44" s="155" t="n"/>
      <c r="F44" s="155" t="n"/>
      <c r="G44" s="155" t="n"/>
      <c r="H44" s="155" t="n"/>
    </row>
    <row r="45" ht="15" customHeight="1" s="136">
      <c r="B45" s="139" t="inlineStr">
        <is>
          <t>Scenario</t>
        </is>
      </c>
      <c r="C45" s="139" t="inlineStr">
        <is>
          <t>Year 1 Saving</t>
        </is>
      </c>
      <c r="D45" s="139" t="inlineStr">
        <is>
          <t>Avg Annual Saving (3yr)</t>
        </is>
      </c>
      <c r="E45" s="139" t="inlineStr">
        <is>
          <t>Avg Annual Saving (5yr)</t>
        </is>
      </c>
      <c r="F45" s="139" t="inlineStr">
        <is>
          <t>5-Year Total Saving</t>
        </is>
      </c>
    </row>
    <row r="46" ht="15" customHeight="1" s="136">
      <c r="B46" s="161" t="inlineStr">
        <is>
          <t>B: Large Family EV</t>
        </is>
      </c>
      <c r="C46" s="162">
        <f>C40-C41</f>
        <v/>
      </c>
      <c r="D46" s="162">
        <f>D40-D41</f>
        <v/>
      </c>
      <c r="E46" s="162">
        <f>E40-E41</f>
        <v/>
      </c>
      <c r="F46" s="162">
        <f>F40-F41</f>
        <v/>
      </c>
    </row>
    <row r="47" ht="15" customHeight="1" s="136">
      <c r="B47" s="161" t="inlineStr">
        <is>
          <t>C: Small EV + Rental</t>
        </is>
      </c>
      <c r="C47" s="162">
        <f>C40-C42</f>
        <v/>
      </c>
      <c r="D47" s="162">
        <f>D40-D42</f>
        <v/>
      </c>
      <c r="E47" s="162">
        <f>E40-E42</f>
        <v/>
      </c>
      <c r="F47" s="162">
        <f>F40-F42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B1:K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35" min="1" max="1"/>
    <col width="24" customWidth="1" style="135" min="2" max="2"/>
    <col width="18" customWidth="1" style="135" min="3" max="3"/>
    <col width="13" customWidth="1" style="135" min="4" max="5"/>
    <col width="12" customWidth="1" style="135" min="6" max="7"/>
    <col width="15" customWidth="1" style="135" min="8" max="8"/>
    <col width="14" customWidth="1" style="135" min="9" max="10"/>
    <col width="36" customWidth="1" style="135" min="11" max="11"/>
  </cols>
  <sheetData>
    <row r="1" ht="19.5" customHeight="1" s="136">
      <c r="B1" s="163" t="inlineStr">
        <is>
          <t>Second-Hand EV Shortlist — Replacing the Grand C4 Picasso</t>
        </is>
      </c>
    </row>
    <row r="2" ht="15" customHeight="1" s="136">
      <c r="B2" s="164" t="inlineStr">
        <is>
          <t>All models: under 100,000 km, 2021-2024, available on Dutch market. Prices in EUR.</t>
        </is>
      </c>
    </row>
    <row r="4" ht="15.75" customHeight="1" s="136">
      <c r="B4" s="165" t="inlineStr">
        <is>
          <t>YOUR CURRENT CAR FOR REFERENCE</t>
        </is>
      </c>
    </row>
    <row r="5" ht="26.25" customHeight="1" s="136">
      <c r="B5" s="166" t="n"/>
      <c r="C5" s="166" t="inlineStr">
        <is>
          <t>Boot</t>
        </is>
      </c>
      <c r="D5" s="166" t="inlineStr">
        <is>
          <t>Rear Legroom</t>
        </is>
      </c>
      <c r="E5" s="166" t="inlineStr">
        <is>
          <t>Rear Headroom</t>
        </is>
      </c>
      <c r="F5" s="166" t="inlineStr">
        <is>
          <t>Pano Roof</t>
        </is>
      </c>
      <c r="G5" s="166" t="inlineStr">
        <is>
          <t>Rev Camera</t>
        </is>
      </c>
      <c r="H5" s="166" t="inlineStr">
        <is>
          <t>Park Assist</t>
        </is>
      </c>
      <c r="I5" s="166" t="inlineStr">
        <is>
          <t>Seats</t>
        </is>
      </c>
      <c r="J5" s="166" t="inlineStr">
        <is>
          <t>Notes</t>
        </is>
      </c>
    </row>
    <row r="6" ht="64.5" customHeight="1" s="136">
      <c r="B6" s="167" t="inlineStr">
        <is>
          <t>Citroën Grand C4 Picasso</t>
        </is>
      </c>
      <c r="C6" s="168" t="inlineStr">
        <is>
          <t>645–704 L (2,181 L flat)</t>
        </is>
      </c>
      <c r="D6" s="168" t="inlineStr">
        <is>
          <t>Excellent</t>
        </is>
      </c>
      <c r="E6" s="168" t="inlineStr">
        <is>
          <t>Excellent</t>
        </is>
      </c>
      <c r="F6" s="168" t="inlineStr">
        <is>
          <t>Yes</t>
        </is>
      </c>
      <c r="G6" s="168" t="inlineStr">
        <is>
          <t>Yes</t>
        </is>
      </c>
      <c r="H6" s="168" t="inlineStr">
        <is>
          <t>Yes</t>
        </is>
      </c>
      <c r="I6" s="168" t="inlineStr">
        <is>
          <t>5 (or 7)</t>
        </is>
      </c>
      <c r="J6" s="169" t="inlineStr">
        <is>
          <t>The benchmark — spacious, airy, family-optimised</t>
        </is>
      </c>
    </row>
    <row r="8" ht="15.75" customHeight="1" s="136">
      <c r="B8" s="165" t="inlineStr">
        <is>
          <t>RECOMMENDED — TIER 1 (Best match for your family)</t>
        </is>
      </c>
    </row>
    <row r="9" ht="26.25" customHeight="1" s="136">
      <c r="B9" s="166" t="inlineStr">
        <is>
          <t>Model</t>
        </is>
      </c>
      <c r="C9" s="166" t="inlineStr">
        <is>
          <t>NL Price Range</t>
        </is>
      </c>
      <c r="D9" s="166" t="inlineStr">
        <is>
          <t>Boot</t>
        </is>
      </c>
      <c r="E9" s="166" t="inlineStr">
        <is>
          <t>Rear Legroom</t>
        </is>
      </c>
      <c r="F9" s="166" t="inlineStr">
        <is>
          <t>Pano Roof</t>
        </is>
      </c>
      <c r="G9" s="166" t="inlineStr">
        <is>
          <t>Rev Camera</t>
        </is>
      </c>
      <c r="H9" s="166" t="inlineStr">
        <is>
          <t>Park Assist</t>
        </is>
      </c>
      <c r="I9" s="166" t="inlineStr">
        <is>
          <t>Battery/Range</t>
        </is>
      </c>
      <c r="J9" s="166" t="inlineStr">
        <is>
          <t>DC Charge</t>
        </is>
      </c>
      <c r="K9" s="166" t="inlineStr">
        <is>
          <t>Why / Watch Out</t>
        </is>
      </c>
    </row>
    <row r="10" ht="51.75" customHeight="1" s="136">
      <c r="B10" s="170" t="inlineStr">
        <is>
          <t>Skoda Enyaq iV ★</t>
        </is>
      </c>
      <c r="C10" s="171" t="inlineStr">
        <is>
          <t>€26,000-32,000</t>
        </is>
      </c>
      <c r="D10" s="171" t="inlineStr">
        <is>
          <t>585 L (~10% smaller)</t>
        </is>
      </c>
      <c r="E10" s="171" t="inlineStr">
        <is>
          <t>Very good</t>
        </is>
      </c>
      <c r="F10" s="171" t="inlineStr">
        <is>
          <t>Higher trims</t>
        </is>
      </c>
      <c r="G10" s="171" t="inlineStr">
        <is>
          <t>Yes</t>
        </is>
      </c>
      <c r="H10" s="171" t="inlineStr">
        <is>
          <t>Higher trims</t>
        </is>
      </c>
      <c r="I10" s="171" t="inlineStr">
        <is>
          <t>62-82 kWh
340-510 km</t>
        </is>
      </c>
      <c r="J10" s="171" t="inlineStr">
        <is>
          <t>135 kW</t>
        </is>
      </c>
      <c r="K10" s="172" t="inlineStr">
        <is>
          <t>Closest to Picasso: biggest boot, flat rear floor, practical "Simply Clever" touches. Watch for: infotainment glitches on some units.</t>
        </is>
      </c>
    </row>
    <row r="11" ht="51.75" customHeight="1" s="136">
      <c r="B11" s="170" t="inlineStr">
        <is>
          <t>Hyundai Ioniq 5 ★</t>
        </is>
      </c>
      <c r="C11" s="171" t="inlineStr">
        <is>
          <t>€26,000-30,000</t>
        </is>
      </c>
      <c r="D11" s="171" t="inlineStr">
        <is>
          <t>527 L (~20% smaller)</t>
        </is>
      </c>
      <c r="E11" s="171" t="inlineStr">
        <is>
          <t>Excellent</t>
        </is>
      </c>
      <c r="F11" s="171" t="inlineStr">
        <is>
          <t>Connect+ trims</t>
        </is>
      </c>
      <c r="G11" s="171" t="inlineStr">
        <is>
          <t>Yes (all)</t>
        </is>
      </c>
      <c r="H11" s="171" t="inlineStr">
        <is>
          <t>Yes (all)</t>
        </is>
      </c>
      <c r="I11" s="171" t="inlineStr">
        <is>
          <t>58-73 kWh
350-480 km</t>
        </is>
      </c>
      <c r="J11" s="171" t="inlineStr">
        <is>
          <t>220 kW</t>
        </is>
      </c>
      <c r="K11" s="172" t="inlineStr">
        <is>
          <t>Modern, spacious, ultra-fast 800V charging. Panoramic roof on Connect/Lounge. Watch for: 12V battery issues, check charging history.</t>
        </is>
      </c>
    </row>
    <row r="12" ht="51.75" customHeight="1" s="136">
      <c r="B12" s="173" t="inlineStr">
        <is>
          <t>Kia EV6</t>
        </is>
      </c>
      <c r="C12" s="174" t="inlineStr">
        <is>
          <t>€27,000-33,000</t>
        </is>
      </c>
      <c r="D12" s="174" t="inlineStr">
        <is>
          <t>490 L (~25% smaller)</t>
        </is>
      </c>
      <c r="E12" s="174" t="inlineStr">
        <is>
          <t>Best in class</t>
        </is>
      </c>
      <c r="F12" s="174" t="inlineStr">
        <is>
          <t>Higher trims</t>
        </is>
      </c>
      <c r="G12" s="174" t="inlineStr">
        <is>
          <t>Yes</t>
        </is>
      </c>
      <c r="H12" s="174" t="inlineStr">
        <is>
          <t>Yes</t>
        </is>
      </c>
      <c r="I12" s="174" t="inlineStr">
        <is>
          <t>58-77 kWh
370-510 km</t>
        </is>
      </c>
      <c r="J12" s="174" t="inlineStr">
        <is>
          <t>220 kW</t>
        </is>
      </c>
      <c r="K12" s="175" t="inlineStr">
        <is>
          <t>"Limo-like" rear legroom — best for tall adults in back. 800V fast charging. Slightly above ideal budget.</t>
        </is>
      </c>
    </row>
    <row r="13" ht="51.75" customHeight="1" s="136"/>
    <row r="14" ht="51.75" customHeight="1" s="136">
      <c r="B14" s="165" t="inlineStr">
        <is>
          <t>TIER 2 — Good alternatives</t>
        </is>
      </c>
    </row>
    <row r="15" ht="51.75" customHeight="1" s="136">
      <c r="B15" s="166" t="inlineStr">
        <is>
          <t>Model</t>
        </is>
      </c>
      <c r="C15" s="166" t="inlineStr">
        <is>
          <t>NL Price Range</t>
        </is>
      </c>
      <c r="D15" s="166" t="inlineStr">
        <is>
          <t>Boot</t>
        </is>
      </c>
      <c r="E15" s="166" t="inlineStr">
        <is>
          <t>Rear Legroom</t>
        </is>
      </c>
      <c r="F15" s="166" t="inlineStr">
        <is>
          <t>Pano Roof</t>
        </is>
      </c>
      <c r="G15" s="166" t="inlineStr">
        <is>
          <t>Rev Camera</t>
        </is>
      </c>
      <c r="H15" s="166" t="inlineStr">
        <is>
          <t>Park Assist</t>
        </is>
      </c>
      <c r="I15" s="166" t="inlineStr">
        <is>
          <t>Battery/Range</t>
        </is>
      </c>
      <c r="J15" s="166" t="inlineStr">
        <is>
          <t>DC Charge</t>
        </is>
      </c>
      <c r="K15" s="166" t="inlineStr">
        <is>
          <t>Why / Watch Out</t>
        </is>
      </c>
    </row>
    <row r="16" ht="51.75" customHeight="1" s="136">
      <c r="B16" s="173" t="inlineStr">
        <is>
          <t>VW ID.4</t>
        </is>
      </c>
      <c r="C16" s="174" t="inlineStr">
        <is>
          <t>€17,000-25,000</t>
        </is>
      </c>
      <c r="D16" s="174" t="inlineStr">
        <is>
          <t>543 L (~16% smaller)</t>
        </is>
      </c>
      <c r="E16" s="174" t="inlineStr">
        <is>
          <t>Good</t>
        </is>
      </c>
      <c r="F16" s="174" t="inlineStr">
        <is>
          <t>Option</t>
        </is>
      </c>
      <c r="G16" s="174" t="inlineStr">
        <is>
          <t>Yes</t>
        </is>
      </c>
      <c r="H16" s="174" t="inlineStr">
        <is>
          <t>Higher trims</t>
        </is>
      </c>
      <c r="I16" s="174" t="inlineStr">
        <is>
          <t>52-77 kWh
320-480 km</t>
        </is>
      </c>
      <c r="J16" s="174" t="inlineStr">
        <is>
          <t>135 kW</t>
        </is>
      </c>
      <c r="K16" s="175" t="inlineStr">
        <is>
          <t>Solid, reliable, wide dealer network. Less exciting than Ioniq 5 but dependable. Slightly less rear space.</t>
        </is>
      </c>
    </row>
    <row r="17" ht="51.75" customHeight="1" s="136">
      <c r="B17" s="176" t="inlineStr">
        <is>
          <t>Tesla Model Y</t>
        </is>
      </c>
      <c r="C17" s="177" t="inlineStr">
        <is>
          <t>€28,000-35,000</t>
        </is>
      </c>
      <c r="D17" s="177" t="inlineStr">
        <is>
          <t>854 L (~30% bigger)</t>
        </is>
      </c>
      <c r="E17" s="177" t="inlineStr">
        <is>
          <t>Very good</t>
        </is>
      </c>
      <c r="F17" s="177" t="inlineStr">
        <is>
          <t>Glass roof std</t>
        </is>
      </c>
      <c r="G17" s="177" t="inlineStr">
        <is>
          <t>Yes</t>
        </is>
      </c>
      <c r="H17" s="177" t="inlineStr">
        <is>
          <t>Yes</t>
        </is>
      </c>
      <c r="I17" s="177" t="inlineStr">
        <is>
          <t>60-75 kWh
390-500 km</t>
        </is>
      </c>
      <c r="J17" s="177" t="inlineStr">
        <is>
          <t>250 kW</t>
        </is>
      </c>
      <c r="K17" s="178" t="inlineStr">
        <is>
          <t>Largest boot of all candidates. Supercharger network excellent. Stretches budget to €30k+ for decent examples.</t>
        </is>
      </c>
    </row>
    <row r="18" ht="51.75" customHeight="1" s="136"/>
    <row r="19" ht="51.75" customHeight="1" s="136">
      <c r="B19" s="165" t="inlineStr">
        <is>
          <t>AVOID — Not suitable for your family needs</t>
        </is>
      </c>
    </row>
    <row r="20" ht="51.75" customHeight="1" s="136">
      <c r="B20" s="166" t="inlineStr">
        <is>
          <t>Model</t>
        </is>
      </c>
      <c r="C20" s="166" t="inlineStr">
        <is>
          <t>NL Price Range</t>
        </is>
      </c>
      <c r="D20" s="166" t="inlineStr">
        <is>
          <t>Boot</t>
        </is>
      </c>
      <c r="E20" s="166" t="inlineStr">
        <is>
          <t>Rear Legroom</t>
        </is>
      </c>
      <c r="F20" s="166" t="inlineStr">
        <is>
          <t>Pano Roof</t>
        </is>
      </c>
      <c r="G20" s="166" t="inlineStr">
        <is>
          <t>Rev Camera</t>
        </is>
      </c>
      <c r="H20" s="166" t="inlineStr">
        <is>
          <t>Park Assist</t>
        </is>
      </c>
      <c r="I20" s="166" t="inlineStr">
        <is>
          <t>Battery/Range</t>
        </is>
      </c>
      <c r="J20" s="166" t="inlineStr">
        <is>
          <t>DC Charge</t>
        </is>
      </c>
      <c r="K20" s="166" t="inlineStr">
        <is>
          <t>Why to avoid</t>
        </is>
      </c>
    </row>
    <row r="21" ht="51.75" customHeight="1" s="136">
      <c r="B21" s="179" t="inlineStr">
        <is>
          <t>Tesla Model 3</t>
        </is>
      </c>
      <c r="C21" s="180" t="inlineStr">
        <is>
          <t>€15,000-26,000</t>
        </is>
      </c>
      <c r="D21" s="180" t="inlineStr">
        <is>
          <t>561 L (~13% smaller)</t>
        </is>
      </c>
      <c r="E21" s="180" t="inlineStr">
        <is>
          <t>Poor</t>
        </is>
      </c>
      <c r="F21" s="180" t="inlineStr">
        <is>
          <t>Glass roof</t>
        </is>
      </c>
      <c r="G21" s="180" t="inlineStr">
        <is>
          <t>Yes</t>
        </is>
      </c>
      <c r="H21" s="180" t="inlineStr">
        <is>
          <t>Yes</t>
        </is>
      </c>
      <c r="I21" s="180" t="inlineStr">
        <is>
          <t>60-75 kWh
400-500 km</t>
        </is>
      </c>
      <c r="J21" s="180" t="inlineStr">
        <is>
          <t>250 kW</t>
        </is>
      </c>
      <c r="K21" s="181" t="inlineStr">
        <is>
          <t>Rear seat too low — poor thigh support, tight headroom. Not designed as family car. Sedan, not SUV/MPV.</t>
        </is>
      </c>
    </row>
    <row r="22" ht="51.75" customHeight="1" s="136">
      <c r="B22" s="179" t="inlineStr">
        <is>
          <t>MG4</t>
        </is>
      </c>
      <c r="C22" s="180" t="inlineStr">
        <is>
          <t>€15,000-20,000</t>
        </is>
      </c>
      <c r="D22" s="180" t="inlineStr">
        <is>
          <t>363 L (~44% smaller)</t>
        </is>
      </c>
      <c r="E22" s="180" t="inlineStr">
        <is>
          <t>Tight</t>
        </is>
      </c>
      <c r="F22" s="180" t="inlineStr">
        <is>
          <t>No</t>
        </is>
      </c>
      <c r="G22" s="180" t="inlineStr">
        <is>
          <t>Varies</t>
        </is>
      </c>
      <c r="H22" s="180" t="inlineStr">
        <is>
          <t>Varies</t>
        </is>
      </c>
      <c r="I22" s="180" t="inlineStr">
        <is>
          <t>51-64 kWh
300-400 km</t>
        </is>
      </c>
      <c r="J22" s="180" t="inlineStr">
        <is>
          <t>100 kW</t>
        </is>
      </c>
      <c r="K22" s="181" t="inlineStr">
        <is>
          <t>No rear interior light (car seat nightmare), no rear air vents, small boot. Great budget EV but wrong car for families.</t>
        </is>
      </c>
    </row>
    <row r="23" ht="51.75" customHeight="1" s="136">
      <c r="B23" s="179" t="inlineStr">
        <is>
          <t>Peugeot e-2008</t>
        </is>
      </c>
      <c r="C23" s="180" t="inlineStr">
        <is>
          <t>€16,000-25,000</t>
        </is>
      </c>
      <c r="D23" s="180" t="inlineStr">
        <is>
          <t>434 L (~33% smaller)</t>
        </is>
      </c>
      <c r="E23" s="180" t="inlineStr">
        <is>
          <t>Tight</t>
        </is>
      </c>
      <c r="F23" s="180" t="inlineStr">
        <is>
          <t>No</t>
        </is>
      </c>
      <c r="G23" s="180" t="inlineStr">
        <is>
          <t>Varies</t>
        </is>
      </c>
      <c r="H23" s="180" t="inlineStr">
        <is>
          <t>Varies</t>
        </is>
      </c>
      <c r="I23" s="180" t="inlineStr">
        <is>
          <t>50 kWh
~300 km</t>
        </is>
      </c>
      <c r="J23" s="180" t="inlineStr">
        <is>
          <t>100 kW</t>
        </is>
      </c>
      <c r="K23" s="181" t="inlineStr">
        <is>
          <t>Too compact. Cramped rear for 2 adults + kids. Better as a city runabout (Scenario C) than family replacement.</t>
        </is>
      </c>
    </row>
    <row r="24" ht="51.75" customHeight="1" s="136">
      <c r="B24" s="179" t="inlineStr">
        <is>
          <t>Hyundai Ioniq 6</t>
        </is>
      </c>
      <c r="C24" s="180" t="inlineStr">
        <is>
          <t>€29,000-45,000</t>
        </is>
      </c>
      <c r="D24" s="180" t="inlineStr">
        <is>
          <t>401 L (~38% smaller)</t>
        </is>
      </c>
      <c r="E24" s="180" t="inlineStr">
        <is>
          <t>Poor</t>
        </is>
      </c>
      <c r="F24" s="180" t="inlineStr">
        <is>
          <t>No</t>
        </is>
      </c>
      <c r="G24" s="180" t="inlineStr">
        <is>
          <t>Yes</t>
        </is>
      </c>
      <c r="H24" s="180" t="inlineStr">
        <is>
          <t>Yes</t>
        </is>
      </c>
      <c r="I24" s="180" t="inlineStr">
        <is>
          <t>53-77 kWh
370-510 km</t>
        </is>
      </c>
      <c r="J24" s="180" t="inlineStr">
        <is>
          <t>220 kW</t>
        </is>
      </c>
      <c r="K24" s="181" t="inlineStr">
        <is>
          <t>Sedan with sloping roof — terrible rear headroom. Pricey. Wrong body style entirely.</t>
        </is>
      </c>
    </row>
    <row r="26" ht="15.75" customHeight="1" s="136">
      <c r="B26" s="165" t="inlineStr">
        <is>
          <t>PRE-PURCHASE CHECKLIST FOR ANY USED EV</t>
        </is>
      </c>
    </row>
    <row r="27" ht="15" customHeight="1" s="136">
      <c r="B27" s="182" t="inlineStr">
        <is>
          <t>1. Get independent battery health report (state of health %) — costs ~€100-200 at most EV specialists.</t>
        </is>
      </c>
      <c r="C27" s="183" t="n"/>
      <c r="D27" s="183" t="n"/>
      <c r="E27" s="183" t="n"/>
      <c r="F27" s="183" t="n"/>
      <c r="G27" s="183" t="n"/>
      <c r="H27" s="183" t="n"/>
      <c r="I27" s="183" t="n"/>
      <c r="J27" s="183" t="n"/>
      <c r="K27" s="184" t="n"/>
    </row>
    <row r="28" ht="15" customHeight="1" s="136">
      <c r="B28" s="182" t="inlineStr">
        <is>
          <t>2. Ask for full service history — look for charging port repairs, 12V battery replacements, software update log.</t>
        </is>
      </c>
      <c r="C28" s="183" t="n"/>
      <c r="D28" s="183" t="n"/>
      <c r="E28" s="183" t="n"/>
      <c r="F28" s="183" t="n"/>
      <c r="G28" s="183" t="n"/>
      <c r="H28" s="183" t="n"/>
      <c r="I28" s="183" t="n"/>
      <c r="J28" s="183" t="n"/>
      <c r="K28" s="184" t="n"/>
    </row>
    <row r="29" ht="15" customHeight="1" s="136">
      <c r="B29" s="182" t="inlineStr">
        <is>
          <t>3. Check remaining manufacturer battery warranty (8-10 years depending on brand).</t>
        </is>
      </c>
      <c r="C29" s="183" t="n"/>
      <c r="D29" s="183" t="n"/>
      <c r="E29" s="183" t="n"/>
      <c r="F29" s="183" t="n"/>
      <c r="G29" s="183" t="n"/>
      <c r="H29" s="183" t="n"/>
      <c r="I29" s="183" t="n"/>
      <c r="J29" s="183" t="n"/>
      <c r="K29" s="184" t="n"/>
    </row>
    <row r="30" ht="15" customHeight="1" s="136">
      <c r="B30" s="182" t="inlineStr">
        <is>
          <t>4. Test DC fast charging during viewing — confirm it reaches advertised speed without throttling.</t>
        </is>
      </c>
      <c r="C30" s="183" t="n"/>
      <c r="D30" s="183" t="n"/>
      <c r="E30" s="183" t="n"/>
      <c r="F30" s="183" t="n"/>
      <c r="G30" s="183" t="n"/>
      <c r="H30" s="183" t="n"/>
      <c r="I30" s="183" t="n"/>
      <c r="J30" s="183" t="n"/>
      <c r="K30" s="184" t="n"/>
    </row>
    <row r="31" ht="15" customHeight="1" s="136">
      <c r="B31" s="182" t="inlineStr">
        <is>
          <t>5. Verify trim level has reversing camera and parking sensors (not all base trims include these).</t>
        </is>
      </c>
      <c r="C31" s="183" t="n"/>
      <c r="D31" s="183" t="n"/>
      <c r="E31" s="183" t="n"/>
      <c r="F31" s="183" t="n"/>
      <c r="G31" s="183" t="n"/>
      <c r="H31" s="183" t="n"/>
      <c r="I31" s="183" t="n"/>
      <c r="J31" s="183" t="n"/>
      <c r="K31" s="184" t="n"/>
    </row>
    <row r="32" ht="15" customHeight="1" s="136">
      <c r="B32" s="182" t="inlineStr">
        <is>
          <t>6. Check tyre condition — EV tyres wear 20-30% faster due to vehicle weight. Budget for replacement.</t>
        </is>
      </c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4" t="n"/>
    </row>
    <row r="33" ht="15" customHeight="1" s="136">
      <c r="B33" s="182" t="inlineStr">
        <is>
          <t>7. Use RDW.nl to verify Dutch registration, import history, and APK (MOT) status.</t>
        </is>
      </c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4" t="n"/>
    </row>
    <row r="34" ht="15" customHeight="1" s="136">
      <c r="B34" s="185" t="inlineStr">
        <is>
          <t>8. ASK: Does this car have a HEAT PUMP? Critical for winter range. Not standard on all trims. Adds 15-25% winter range vs resistive heater.</t>
        </is>
      </c>
    </row>
    <row r="35" ht="15" customHeight="1" s="136">
      <c r="B35" s="185" t="inlineStr">
        <is>
          <t>9. ASK: Battery cooling system — is it liquid-cooled? (All 3 recommended EVs are, but verify coolant has been maintained.)</t>
        </is>
      </c>
    </row>
    <row r="36" ht="15" customHeight="1" s="136">
      <c r="B36" s="185" t="inlineStr">
        <is>
          <t>10. ASK: Has battery coolant ever been changed? Check coolant level and condition during viewing.</t>
        </is>
      </c>
    </row>
    <row r="37" ht="15" customHeight="1" s="136">
      <c r="B37" s="185" t="inlineStr">
        <is>
          <t>11. ASK: Any battery-related warning lights or error codes in history? Ask dealer to show diagnostic scan.</t>
        </is>
      </c>
    </row>
    <row r="38" ht="15" customHeight="1" s="136">
      <c r="B38" s="185" t="inlineStr">
        <is>
          <t>12. ASK: Has the 12V auxiliary battery been replaced? (Common failure point, especially on Ioniq 5 — €150-250 to replace.)</t>
        </is>
      </c>
    </row>
    <row r="39" ht="15" customHeight="1" s="136">
      <c r="B39" s="185" t="inlineStr">
        <is>
          <t>13. ASK: Is scheduled cabin pre-conditioning working? Test it during viewing — some Bluelink/Kia Connect subscriptions expire.</t>
        </is>
      </c>
    </row>
    <row r="40" ht="15" customHeight="1" s="136">
      <c r="B40" s="185" t="inlineStr">
        <is>
          <t>14. CHECK: Verify the car's app connectivity still works (MySkoda / Bluelink / Kia Connect). Some features need active subscription.</t>
        </is>
      </c>
    </row>
    <row r="41" ht="15" customHeight="1" s="136">
      <c r="B41" s="185" t="inlineStr">
        <is>
          <t>15. CHECK: Look for uneven tyre wear — can indicate alignment issues or suspension wear from the heavier EV weight.</t>
        </is>
      </c>
    </row>
    <row r="42" ht="15" customHeight="1" s="136">
      <c r="B42" s="185" t="inlineStr">
        <is>
          <t>16. CHECK: Test all charging modes (AC home + DC fast) and check charging port for damage or corrosion.</t>
        </is>
      </c>
    </row>
    <row r="43" ht="15" customHeight="1" s="136">
      <c r="B43" s="185" t="inlineStr">
        <is>
          <t>17. ASK: Has the car been in any accidents? Battery damage from underside impacts is expensive to repair.</t>
        </is>
      </c>
    </row>
    <row r="44">
      <c r="B44" s="135" t="inlineStr">
        <is>
          <t>18. CHECK: Listen for clunky or rattling suspension — bounce each corner, drive over speed bumps. Dampers/bushings wear with km.</t>
        </is>
      </c>
    </row>
    <row r="45" ht="15" customHeight="1" s="136">
      <c r="B45" s="186" t="n"/>
    </row>
    <row r="46">
      <c r="B46" s="135" t="inlineStr">
        <is>
          <t>20. CHECK: Test all electric features — tailgate, sunroof, seat adjustment, heated steering, mirrors. Electric motors fail silently.</t>
        </is>
      </c>
    </row>
    <row r="47">
      <c r="B47" s="135" t="inlineStr">
        <is>
          <t>21. ASK: Is the connected car app subscription active? Bluelink (Hyundai) / Kia Connect / MySkoda — check if remote features still work.</t>
        </is>
      </c>
    </row>
    <row r="48">
      <c r="B48" s="135" t="inlineStr">
        <is>
          <t>22. NOTE: High mileage (80-100k km) is fine for EVs — no engine/gearbox wear. Focus on battery SoH, suspension, and service history rather than km.</t>
        </is>
      </c>
    </row>
    <row r="49">
      <c r="B49" s="135" t="inlineStr">
        <is>
          <t>23. ENYAQ ONLY: Check it has the Parking Plus package (Park Assist + 360° camera + Trained Parking). Park assist is NOT standard on any pre-2025 Enyaq. On Ioniq 5 Lounge+ and EV6 GT-Line, park assist (SPA) is standard.</t>
        </is>
      </c>
    </row>
    <row r="53">
      <c r="B53" s="135" t="inlineStr">
        <is>
          <t>19. CHECK: Inspect undercarriage for corrosion, scrapes, and battery tray damage. Dutch salt roads accelerate rust. Use phone torch.</t>
        </is>
      </c>
    </row>
  </sheetData>
  <mergeCells count="7">
    <mergeCell ref="B31:K31"/>
    <mergeCell ref="B32:K32"/>
    <mergeCell ref="B27:K27"/>
    <mergeCell ref="B30:K30"/>
    <mergeCell ref="B29:K29"/>
    <mergeCell ref="B33:K33"/>
    <mergeCell ref="B28:K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G1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35" min="1" max="1"/>
    <col width="28" customWidth="1" style="135" min="2" max="2"/>
    <col width="6" customWidth="1" style="135" min="3" max="3"/>
    <col width="30" customWidth="1" style="135" min="4" max="7"/>
  </cols>
  <sheetData>
    <row r="1" ht="19.5" customHeight="1" s="136">
      <c r="B1" s="163" t="inlineStr">
        <is>
          <t>Feature Comparison by Model &amp; Trim</t>
        </is>
      </c>
    </row>
    <row r="2" ht="15" customHeight="1" s="136">
      <c r="B2" s="187" t="inlineStr">
        <is>
          <t>COLOR KEY:  ✅ Green = Included as standard  |  ⚠ Orange = Available as option / higher trim  |  ❌ Red = Not available</t>
        </is>
      </c>
    </row>
    <row r="4" ht="15.75" customHeight="1" s="136">
      <c r="B4" s="165" t="inlineStr">
        <is>
          <t>YOUR WISHLIST vs. REALITY</t>
        </is>
      </c>
    </row>
    <row r="5" ht="21.75" customHeight="1" s="136">
      <c r="B5" s="188" t="inlineStr">
        <is>
          <t>Your Feature (priority order)</t>
        </is>
      </c>
      <c r="C5" s="188" t="inlineStr">
        <is>
          <t>Prio</t>
        </is>
      </c>
      <c r="D5" s="188" t="inlineStr">
        <is>
          <t>Enyaq iV
(Edition / L&amp;K)</t>
        </is>
      </c>
      <c r="E5" s="188" t="inlineStr">
        <is>
          <t>Ioniq 5
(Lounge / Ultimate)</t>
        </is>
      </c>
      <c r="F5" s="188" t="inlineStr">
        <is>
          <t>EV6
(Wind / GT-Line)</t>
        </is>
      </c>
      <c r="G5" s="188" t="inlineStr">
        <is>
          <t>Notes</t>
        </is>
      </c>
    </row>
    <row r="6" ht="31.5" customHeight="1" s="136">
      <c r="B6" s="269" t="inlineStr">
        <is>
          <t>Predictive ACC (nav-based)</t>
        </is>
      </c>
      <c r="C6" s="270" t="inlineStr">
        <is>
          <t>1</t>
        </is>
      </c>
      <c r="D6" s="267" t="inlineStr">
        <is>
          <t>⚠ pACC (Assist pkg)</t>
        </is>
      </c>
      <c r="E6" s="268" t="inlineStr">
        <is>
          <t>✅ NSCC (all trims)</t>
        </is>
      </c>
      <c r="F6" s="268" t="inlineStr">
        <is>
          <t>✅ NSCC-C (all trims)</t>
        </is>
      </c>
      <c r="G6" s="193" t="inlineStr">
        <is>
          <t>Enyaq needs an option package for this. Ioniq 5 has it on every trim.</t>
        </is>
      </c>
    </row>
    <row r="7" ht="31.5" customHeight="1" s="136">
      <c r="B7" s="269" t="inlineStr">
        <is>
          <t>Blind spot detection</t>
        </is>
      </c>
      <c r="C7" s="270" t="inlineStr">
        <is>
          <t>2</t>
        </is>
      </c>
      <c r="D7" s="271" t="inlineStr">
        <is>
          <t>⚠ Side Assist pkg</t>
        </is>
      </c>
      <c r="E7" s="268" t="inlineStr">
        <is>
          <t>✅ Standard (all)</t>
        </is>
      </c>
      <c r="F7" s="268" t="inlineStr">
        <is>
          <t>✅ Standard (all)</t>
        </is>
      </c>
      <c r="G7" s="197" t="inlineStr">
        <is>
          <t>Nice-to-have, not a must. Both Korean cars have it standard. Enyaq doesn't — less of an issue now.</t>
        </is>
      </c>
    </row>
    <row r="8" ht="31.5" customHeight="1" s="136">
      <c r="B8" s="269" t="inlineStr">
        <is>
          <t>Traffic sign recognition</t>
        </is>
      </c>
      <c r="C8" s="270" t="inlineStr">
        <is>
          <t>3</t>
        </is>
      </c>
      <c r="D8" s="272" t="inlineStr">
        <is>
          <t>✅ Standard (all)</t>
        </is>
      </c>
      <c r="E8" s="272" t="inlineStr">
        <is>
          <t>✅ Standard (all)</t>
        </is>
      </c>
      <c r="F8" s="268" t="inlineStr">
        <is>
          <t>✅ Standard (all)</t>
        </is>
      </c>
      <c r="G8" s="193" t="inlineStr">
        <is>
          <t>EV6 GT-Line is the only one where it's guaranteed without checking options.</t>
        </is>
      </c>
    </row>
    <row r="9" ht="31.5" customHeight="1" s="136">
      <c r="B9" s="269" t="inlineStr">
        <is>
          <t>Panoramic sunroof</t>
        </is>
      </c>
      <c r="C9" s="270" t="inlineStr">
        <is>
          <t>4</t>
        </is>
      </c>
      <c r="D9" s="273" t="inlineStr">
        <is>
          <t>⚠ Option (~€1,000)</t>
        </is>
      </c>
      <c r="E9" s="273" t="inlineStr">
        <is>
          <t>⚠ Lounge+</t>
        </is>
      </c>
      <c r="F9" s="268" t="inlineStr">
        <is>
          <t>✅ Std on GT-Line</t>
        </is>
      </c>
      <c r="G9" s="197" t="inlineStr">
        <is>
          <t>Enyaq actually wins here with tri-zone. All are fine.</t>
        </is>
      </c>
    </row>
    <row r="10" ht="31.5" customHeight="1" s="136">
      <c r="B10" s="269" t="inlineStr">
        <is>
          <t>Reversing camera</t>
        </is>
      </c>
      <c r="C10" s="270" t="inlineStr">
        <is>
          <t>5</t>
        </is>
      </c>
      <c r="D10" s="272" t="inlineStr">
        <is>
          <t>✅ Standard (all)</t>
        </is>
      </c>
      <c r="E10" s="272" t="inlineStr">
        <is>
          <t>✅ Std on Lounge+</t>
        </is>
      </c>
      <c r="F10" s="268" t="inlineStr">
        <is>
          <t>✅ Std on Wind+</t>
        </is>
      </c>
      <c r="G10" s="193" t="inlineStr">
        <is>
          <t>EV6 GT-Line includes remote smart parking as standard. Ioniq 5 Lounge includes RSPA. Enyaq needs Parking Plus / Maxx package (common on Business Edition).</t>
        </is>
      </c>
    </row>
    <row r="11" ht="31.5" customHeight="1" s="136">
      <c r="B11" s="269" t="inlineStr">
        <is>
          <t>Park assist (auto steering)</t>
        </is>
      </c>
      <c r="C11" s="270" t="inlineStr">
        <is>
          <t>6</t>
        </is>
      </c>
      <c r="D11" s="267" t="inlineStr">
        <is>
          <t>⚠ Parking Plus pkg</t>
        </is>
      </c>
      <c r="E11" s="268" t="inlineStr">
        <is>
          <t>✅ SPA (Lounge+)</t>
        </is>
      </c>
      <c r="F11" s="268" t="inlineStr">
        <is>
          <t>✅ SPA (GT-Line std)</t>
        </is>
      </c>
      <c r="G11" s="197" t="inlineStr">
        <is>
          <t>Just reversing camera needed (not 360°). Ioniq 5 Lounge has it, EV6 Wind+, Enyaq needs pkg.</t>
        </is>
      </c>
    </row>
    <row r="12" ht="31.5" customHeight="1" s="136">
      <c r="B12" s="269" t="inlineStr">
        <is>
          <t>Electric tailgate</t>
        </is>
      </c>
      <c r="C12" s="270" t="inlineStr">
        <is>
          <t>7</t>
        </is>
      </c>
      <c r="D12" s="274" t="inlineStr">
        <is>
          <t>❌ Not available</t>
        </is>
      </c>
      <c r="E12" s="272" t="inlineStr">
        <is>
          <t>✅ Standard (all)</t>
        </is>
      </c>
      <c r="F12" s="272" t="inlineStr">
        <is>
          <t>✅ Standard (all)</t>
        </is>
      </c>
      <c r="G12" s="193" t="inlineStr">
        <is>
          <t>All need higher trims. Ioniq 5 Ultimate has real leather; others are synthetic.</t>
        </is>
      </c>
    </row>
    <row r="13" ht="31.5" customHeight="1" s="136">
      <c r="B13" s="269" t="inlineStr">
        <is>
          <t>Air conditioning</t>
        </is>
      </c>
      <c r="C13" s="270" t="inlineStr">
        <is>
          <t>8</t>
        </is>
      </c>
      <c r="D13" s="275" t="inlineStr">
        <is>
          <t>✅ Tri-zone (all)</t>
        </is>
      </c>
      <c r="E13" s="275" t="inlineStr">
        <is>
          <t>✅ Dual-zone (all)</t>
        </is>
      </c>
      <c r="F13" s="275" t="inlineStr">
        <is>
          <t>✅ Dual-zone (all)</t>
        </is>
      </c>
      <c r="G13" s="197" t="inlineStr">
        <is>
          <t>MPV-only feature. None of these have it. Aftermarket tablet holders exist (€30-50).</t>
        </is>
      </c>
    </row>
    <row r="14" ht="31.5" customHeight="1" s="136">
      <c r="B14" s="269" t="inlineStr">
        <is>
          <t>Leather / premium seats</t>
        </is>
      </c>
      <c r="C14" s="270" t="inlineStr">
        <is>
          <t>9</t>
        </is>
      </c>
      <c r="D14" s="273" t="inlineStr">
        <is>
          <t>⚠ Suite / L&amp;K trim</t>
        </is>
      </c>
      <c r="E14" s="271" t="inlineStr">
        <is>
          <t>⚠ Ultimate / N Line S</t>
        </is>
      </c>
      <c r="F14" s="271" t="inlineStr">
        <is>
          <t>⚠ GT-Line (suede)</t>
        </is>
      </c>
      <c r="G14" s="193" t="inlineStr">
        <is>
          <t>Only the Enyaq Edition has built-in manual blinds. Others: buy magnetic shades (€25).</t>
        </is>
      </c>
    </row>
    <row r="15" ht="31.5" customHeight="1" s="136">
      <c r="B15" s="269" t="inlineStr">
        <is>
          <t>Fold-out rear tables</t>
        </is>
      </c>
      <c r="C15" s="270" t="inlineStr">
        <is>
          <t>10</t>
        </is>
      </c>
      <c r="D15" s="274" t="inlineStr">
        <is>
          <t>❌ Not available</t>
        </is>
      </c>
      <c r="E15" s="276" t="inlineStr">
        <is>
          <t>❌ Not available</t>
        </is>
      </c>
      <c r="F15" s="276" t="inlineStr">
        <is>
          <t>❌ Not available</t>
        </is>
      </c>
      <c r="G15" s="197" t="inlineStr">
        <is>
          <t>Privacy glass standard on Ioniq 5 and EV6. Enyaq needs a package again.</t>
        </is>
      </c>
    </row>
    <row r="16" ht="31.5" customHeight="1" s="136">
      <c r="B16" s="269" t="inlineStr">
        <is>
          <t>Rear window blinds</t>
        </is>
      </c>
      <c r="C16" s="270" t="inlineStr">
        <is>
          <t>11</t>
        </is>
      </c>
      <c r="D16" s="268" t="inlineStr">
        <is>
          <t>✅ Edition trim only</t>
        </is>
      </c>
      <c r="E16" s="276" t="inlineStr">
        <is>
          <t>❌ Privacy glass only</t>
        </is>
      </c>
      <c r="F16" s="276" t="inlineStr">
        <is>
          <t>❌ Privacy glass only</t>
        </is>
      </c>
      <c r="G16" s="193" t="inlineStr">
        <is>
          <t>EVs hold position automatically on hills. The motor provides instant holding torque.</t>
        </is>
      </c>
    </row>
    <row r="17" ht="31.5" customHeight="1" s="136">
      <c r="B17" s="269" t="inlineStr">
        <is>
          <t>Tinted rear windows</t>
        </is>
      </c>
      <c r="C17" s="270" t="inlineStr">
        <is>
          <t>12</t>
        </is>
      </c>
      <c r="D17" s="273" t="inlineStr">
        <is>
          <t>⚠ Convenience pkg</t>
        </is>
      </c>
      <c r="E17" s="272" t="inlineStr">
        <is>
          <t>✅ Standard (all)</t>
        </is>
      </c>
      <c r="F17" s="268" t="inlineStr">
        <is>
          <t>✅ Standard (all)</t>
        </is>
      </c>
      <c r="G17" s="197" t="inlineStr">
        <is>
          <t>Enyaq and EV6 have it across the board. Ioniq 5 base trim doesn't.</t>
        </is>
      </c>
    </row>
    <row r="18" ht="31.5" customHeight="1" s="136">
      <c r="A18" s="198" t="n"/>
      <c r="B18" s="199" t="inlineStr">
        <is>
          <t>Hill start assist</t>
        </is>
      </c>
      <c r="C18" s="200" t="inlineStr">
        <is>
          <t>13</t>
        </is>
      </c>
      <c r="D18" s="277" t="inlineStr">
        <is>
          <t>✅ Not needed</t>
        </is>
      </c>
      <c r="E18" s="277" t="inlineStr">
        <is>
          <t>✅ Not needed</t>
        </is>
      </c>
      <c r="F18" s="277" t="inlineStr">
        <is>
          <t>✅ Not needed</t>
        </is>
      </c>
    </row>
    <row r="19" ht="31.5" customHeight="1" s="136">
      <c r="A19" s="198" t="n"/>
      <c r="B19" s="199" t="inlineStr">
        <is>
          <t>Wireless phone charging</t>
        </is>
      </c>
      <c r="C19" s="200" t="inlineStr">
        <is>
          <t>14</t>
        </is>
      </c>
      <c r="D19" s="277" t="inlineStr">
        <is>
          <t>✅ Standard (all)</t>
        </is>
      </c>
      <c r="E19" s="278" t="inlineStr">
        <is>
          <t>⚠ Connect+ and above</t>
        </is>
      </c>
      <c r="F19" s="277" t="inlineStr">
        <is>
          <t>✅ Standard (all)</t>
        </is>
      </c>
    </row>
    <row r="20" ht="31.5" customHeight="1" s="136">
      <c r="A20" s="198" t="n"/>
      <c r="B20" s="199" t="inlineStr">
        <is>
          <t>Cooled seats</t>
        </is>
      </c>
      <c r="C20" s="200" t="inlineStr">
        <is>
          <t>15</t>
        </is>
      </c>
      <c r="D20" s="279" t="inlineStr">
        <is>
          <t>❌ Not available</t>
        </is>
      </c>
      <c r="E20" s="279" t="inlineStr">
        <is>
          <t>❌ Not available</t>
        </is>
      </c>
      <c r="F20" s="278" t="inlineStr">
        <is>
          <t>⚠ GT-Line S only</t>
        </is>
      </c>
    </row>
    <row r="21" ht="31.5" customHeight="1" s="136">
      <c r="B21" s="135" t="inlineStr">
        <is>
          <t>Wireless CarPlay/Android Auto</t>
        </is>
      </c>
      <c r="C21" s="135" t="inlineStr">
        <is>
          <t>16</t>
        </is>
      </c>
      <c r="D21" s="280" t="inlineStr">
        <is>
          <t>✅ Standard (all)</t>
        </is>
      </c>
      <c r="E21" s="281" t="inlineStr">
        <is>
          <t>⚠ Connect+ and above</t>
        </is>
      </c>
      <c r="F21" s="280" t="inlineStr">
        <is>
          <t>✅ Standard (all)</t>
        </is>
      </c>
    </row>
    <row r="22" ht="31.5" customHeight="1" s="136">
      <c r="B22" s="165" t="inlineStr">
        <is>
          <t>FEATURE SCORECARD</t>
        </is>
      </c>
    </row>
    <row r="23" ht="31.5" customHeight="1" s="136">
      <c r="B23" s="188" t="n"/>
      <c r="C23" s="188" t="n"/>
      <c r="D23" s="188" t="inlineStr">
        <is>
          <t>Enyaq iV</t>
        </is>
      </c>
      <c r="E23" s="188" t="inlineStr">
        <is>
          <t>Ioniq 5</t>
        </is>
      </c>
      <c r="F23" s="188" t="inlineStr">
        <is>
          <t>EV6</t>
        </is>
      </c>
      <c r="G23" s="188" t="n"/>
    </row>
    <row r="24" ht="31.5" customHeight="1" s="136">
      <c r="B24" s="204" t="inlineStr">
        <is>
          <t>Features standard (no extra cost)</t>
        </is>
      </c>
      <c r="C24" s="205" t="n"/>
      <c r="D24" s="206" t="inlineStr">
        <is>
          <t>7 / 16</t>
        </is>
      </c>
      <c r="E24" s="206" t="inlineStr">
        <is>
          <t>9 / 16</t>
        </is>
      </c>
      <c r="F24" s="206" t="inlineStr">
        <is>
          <t>12 / 16</t>
        </is>
      </c>
      <c r="G24" s="207" t="inlineStr">
        <is>
          <t>EV6 GT-Line includes the most as standard</t>
        </is>
      </c>
    </row>
    <row r="25" ht="31.5" customHeight="1" s="136">
      <c r="B25" s="194" t="inlineStr">
        <is>
          <t>Features available (std + optional)</t>
        </is>
      </c>
      <c r="C25" s="195" t="n"/>
      <c r="D25" s="208" t="inlineStr">
        <is>
          <t>13 / 16</t>
        </is>
      </c>
      <c r="E25" s="208" t="inlineStr">
        <is>
          <t>13 / 16</t>
        </is>
      </c>
      <c r="F25" s="208" t="inlineStr">
        <is>
          <t>14 / 16</t>
        </is>
      </c>
      <c r="G25" s="197" t="inlineStr">
        <is>
          <t>All miss fold-out tables; Enyaq misses electric tailgate</t>
        </is>
      </c>
    </row>
    <row r="26" ht="31.5" customHeight="1" s="136">
      <c r="B26" s="189" t="inlineStr">
        <is>
          <t>Not available at all</t>
        </is>
      </c>
      <c r="C26" s="190" t="n"/>
      <c r="D26" s="209" t="inlineStr">
        <is>
          <t>3 / 16</t>
        </is>
      </c>
      <c r="E26" s="209" t="inlineStr">
        <is>
          <t>3 / 16</t>
        </is>
      </c>
      <c r="F26" s="209" t="inlineStr">
        <is>
          <t>2 / 16</t>
        </is>
      </c>
      <c r="G26" s="193" t="inlineStr">
        <is>
          <t>Tables and tailgate (Enyaq) or tables and blinds (Ioniq/EV6)</t>
        </is>
      </c>
    </row>
    <row r="27" ht="31.5" customHeight="1" s="136"/>
    <row r="28" ht="31.5" customHeight="1" s="136"/>
    <row r="29" ht="31.5" customHeight="1" s="136">
      <c r="B29" s="165" t="inlineStr">
        <is>
          <t>RECOMMENDED TRIM LEVEL &amp; PRICE IMPACT</t>
        </is>
      </c>
    </row>
    <row r="30" ht="31.5" customHeight="1" s="136">
      <c r="B30" s="188" t="inlineStr">
        <is>
          <t>Model</t>
        </is>
      </c>
      <c r="C30" s="188" t="n"/>
      <c r="D30" s="188" t="inlineStr">
        <is>
          <t>Trim to target</t>
        </is>
      </c>
      <c r="E30" s="188" t="inlineStr">
        <is>
          <t>Second-hand price</t>
        </is>
      </c>
      <c r="F30" s="188" t="inlineStr">
        <is>
          <t>Gets you</t>
        </is>
      </c>
      <c r="G30" s="188" t="inlineStr">
        <is>
          <t>What you miss</t>
        </is>
      </c>
    </row>
    <row r="31" ht="31.5" customHeight="1" s="136">
      <c r="B31" s="210" t="inlineStr">
        <is>
          <t>Hyundai Ioniq 5</t>
        </is>
      </c>
      <c r="C31" s="211" t="n"/>
      <c r="D31" s="212" t="inlineStr">
        <is>
          <t>Lounge or Ultimate</t>
        </is>
      </c>
      <c r="E31" s="212" t="inlineStr">
        <is>
          <t>€24,000 - 29,000</t>
        </is>
      </c>
      <c r="F31" s="213" t="inlineStr">
        <is>
          <t>ACC, power tailgate, 360° cam, pano roof, leather (Ultimate), privacy glass, wireless charge</t>
        </is>
      </c>
      <c r="G31" s="214" t="inlineStr">
        <is>
          <t>No tables, no built-in blinds (buy magnetic €25)</t>
        </is>
      </c>
    </row>
    <row r="32" ht="34.5" customHeight="1" s="136">
      <c r="B32" s="194" t="inlineStr">
        <is>
          <t>Kia EV6</t>
        </is>
      </c>
      <c r="C32" s="195" t="n"/>
      <c r="D32" s="208" t="inlineStr">
        <is>
          <t>GT-Line</t>
        </is>
      </c>
      <c r="E32" s="208" t="inlineStr">
        <is>
          <t>€27,000 - 32,000</t>
        </is>
      </c>
      <c r="F32" s="215" t="inlineStr">
        <is>
          <t>ACC, power tailgate, pano roof std, 360° cam, parking assist, wireless charge, suede seats</t>
        </is>
      </c>
      <c r="G32" s="216" t="inlineStr">
        <is>
          <t>No tables, no built-in blinds (buy magnetic €25). Pushes budget.</t>
        </is>
      </c>
    </row>
    <row r="33" ht="34.5" customHeight="1" s="136">
      <c r="B33" s="189" t="inlineStr">
        <is>
          <t>Skoda Enyaq iV</t>
        </is>
      </c>
      <c r="C33" s="190" t="n"/>
      <c r="D33" s="209" t="inlineStr">
        <is>
          <t>Business Ed or L&amp;K</t>
        </is>
      </c>
      <c r="E33" s="209" t="inlineStr">
        <is>
          <t>€24,000 - 30,000</t>
        </is>
      </c>
      <c r="F33" s="217" t="inlineStr">
        <is>
          <t>Tri-zone AC, wireless charge, rear blinds (Edition). Must add Assistance + Parking pkgs.</t>
        </is>
      </c>
      <c r="G33" s="218" t="inlineStr">
        <is>
          <t>No electric tailgate. ACC costs extra. But pano roof and park assist available as options — look for well-spec Business Edition models.</t>
        </is>
      </c>
    </row>
    <row r="35" ht="15.75" customHeight="1" s="136">
      <c r="B35" s="165" t="inlineStr">
        <is>
          <t>VERDICT</t>
        </is>
      </c>
    </row>
    <row r="36" ht="15" customHeight="1" s="136">
      <c r="B36" s="219" t="inlineStr">
        <is>
          <t>The Ioniq 5 Lounge/Ultimate is the best match for your feature wishlist.</t>
        </is>
      </c>
    </row>
    <row r="37" ht="15" customHeight="1" s="136">
      <c r="B37" s="220" t="inlineStr">
        <is>
          <t>It ticks the most boxes as standard, including blind spot detection, traffic sign recognition, and ACC on every trim.</t>
        </is>
      </c>
    </row>
    <row r="38" ht="15" customHeight="1" s="136">
      <c r="B38" s="220" t="inlineStr">
        <is>
          <t>The Enyaq — previously our top pick for space — has more options than we thought: panoramic roof and park assist are both available (common on Business Edition). No electric tailgate is still a miss.</t>
        </is>
      </c>
    </row>
    <row r="39" ht="15" customHeight="1" s="136">
      <c r="B39" s="220" t="inlineStr">
        <is>
          <t>The EV6 GT-Line ticks even more boxes but pushes your budget to ~€30k.</t>
        </is>
      </c>
    </row>
    <row r="41" ht="15" customHeight="1" s="136">
      <c r="B41" s="221" t="inlineStr">
        <is>
          <t>NOTES ON NEW FEATURES</t>
        </is>
      </c>
    </row>
    <row r="42" ht="15" customHeight="1" s="136">
      <c r="B42" s="222" t="inlineStr">
        <is>
          <t>Traffic sign recognition (ISLA): standard on ALL three cars, ALL trims. Shows current speed limit in instrument cluster.</t>
        </is>
      </c>
    </row>
    <row r="43" ht="15" customHeight="1" s="136">
      <c r="B43" s="222" t="inlineStr">
        <is>
          <t>Blind spot detection: standard on Ioniq 5 &amp; EV6 (all trims). On Enyaq, requires Side Assist package — check it's fitted.</t>
        </is>
      </c>
    </row>
    <row r="44" ht="15" customHeight="1" s="136">
      <c r="B44" s="222" t="inlineStr">
        <is>
          <t>Predictive ACC: All 3 cars have nav-based ACC that slows for curves, roundabouts, speed limits. Ioniq 5 = NSCC (std all trims). EV6 = NSCC-C (std all trims). Enyaq = pACC (ACC is predictive by design — if it has ACC, it has pACC. ACC itself needs Assisted Drive pkg).</t>
        </is>
      </c>
    </row>
    <row r="45">
      <c r="B45" s="135" t="inlineStr">
        <is>
          <t>Park assist: Ioniq 5 &amp; EV6 = "Smart Parking Assist" (SPA) — car measures space, steers for parallel/perpendicular. Enyaq = part of Parking Plus pkg (Park Assist + 360° camera + Trained Parking). NOT standard on any Enyaq trim.</t>
        </is>
      </c>
    </row>
    <row r="46" ht="15" customHeight="1" s="136">
      <c r="B46" s="223" t="inlineStr">
        <is>
          <t>Wireless charging + CarPlay: easy aftermarket. Qi pad ~€15-20, wireless CarPlay adapter ~€30-50. Don't let these affect trim choice.</t>
        </is>
      </c>
    </row>
    <row r="47" ht="15" customHeight="1" s="136">
      <c r="B47" s="224" t="inlineStr">
        <is>
          <t>TRIM LEVEL GUIDE</t>
        </is>
      </c>
    </row>
    <row r="48" ht="15" customHeight="1" s="136">
      <c r="B48" s="225" t="inlineStr">
        <is>
          <t>Level</t>
        </is>
      </c>
      <c r="C48" s="225" t="n"/>
      <c r="D48" s="225" t="inlineStr">
        <is>
          <t>Skoda Enyaq iV</t>
        </is>
      </c>
      <c r="E48" s="225" t="inlineStr">
        <is>
          <t>Hyundai Ioniq 5</t>
        </is>
      </c>
      <c r="F48" s="225" t="inlineStr">
        <is>
          <t>Kia EV6</t>
        </is>
      </c>
    </row>
    <row r="49" ht="18.75" customHeight="1" s="136">
      <c r="B49" s="226" t="inlineStr">
        <is>
          <t>Entry</t>
        </is>
      </c>
      <c r="C49" s="227" t="n"/>
      <c r="D49" s="227" t="inlineStr">
        <is>
          <t>Enyaq iV (€18-20k)
Basic spec, manual tailgate</t>
        </is>
      </c>
      <c r="E49" s="227" t="inlineStr">
        <is>
          <t>SE Connect (€20-23k)
ACC + tailgate std, basic infotainment</t>
        </is>
      </c>
      <c r="F49" s="227" t="inlineStr">
        <is>
          <t>Air (€20-23k)
ACC + tailgate std, basic spec</t>
        </is>
      </c>
    </row>
    <row r="50" ht="18.75" customHeight="1" s="136">
      <c r="B50" s="226" t="inlineStr">
        <is>
          <t>Mid</t>
        </is>
      </c>
      <c r="C50" s="227" t="n"/>
      <c r="D50" s="227" t="inlineStr">
        <is>
          <t>Business Ed (€26-32k)
Well-equipped, pano roof option, park assist option</t>
        </is>
      </c>
      <c r="E50" s="227" t="inlineStr">
        <is>
          <t>Connect (€22-25k)
Adds nav, bigger screen</t>
        </is>
      </c>
      <c r="F50" s="227" t="inlineStr">
        <is>
          <t>Wind (€23-26k)
Adds camera, heated steering</t>
        </is>
      </c>
    </row>
    <row r="51" ht="18.75" customHeight="1" s="136">
      <c r="B51" s="228" t="inlineStr">
        <is>
          <t>Upper</t>
        </is>
      </c>
      <c r="C51" s="229" t="inlineStr">
        <is>
          <t>★</t>
        </is>
      </c>
      <c r="D51" s="229" t="inlineStr">
        <is>
          <t>Sportline (€24-28k)
Sporty look, bigger wheels</t>
        </is>
      </c>
      <c r="E51" s="229" t="inlineStr">
        <is>
          <t>Lounge (€26-30k)
Pano roof, 360° cam, premium audio</t>
        </is>
      </c>
      <c r="F51" s="229" t="inlineStr">
        <is>
          <t>GT-Line (€27-32k)
Pano roof, parking assist, 360° cam, suede</t>
        </is>
      </c>
    </row>
    <row r="52" ht="18.75" customHeight="1" s="136">
      <c r="B52" s="226" t="inlineStr">
        <is>
          <t>Top</t>
        </is>
      </c>
      <c r="C52" s="227" t="n"/>
      <c r="D52" s="227" t="inlineStr">
        <is>
          <t>L&amp;K (€28-33k)
Leather, massage seats, full spec</t>
        </is>
      </c>
      <c r="E52" s="227" t="inlineStr">
        <is>
          <t>Ultimate (€29-34k)
Leather, HUD, full self-parking</t>
        </is>
      </c>
      <c r="F52" s="227" t="inlineStr">
        <is>
          <t>GT-Line S (€32-38k)
Cooled seats, full spec — over budget</t>
        </is>
      </c>
    </row>
    <row r="54" ht="15" customHeight="1" s="136">
      <c r="B54" s="223" t="inlineStr">
        <is>
          <t>ROAD SAFETY FEATURES</t>
        </is>
      </c>
    </row>
    <row r="55" ht="15" customHeight="1" s="136">
      <c r="B55" s="224" t="inlineStr">
        <is>
          <t>All three EVs have 5-star Euro NCAP ratings. ESC, ABS, traction control, and multiple airbags are standard on every EV sold in the EU.</t>
        </is>
      </c>
    </row>
    <row r="56" ht="15" customHeight="1" s="136">
      <c r="B56" s="230" t="inlineStr">
        <is>
          <t>Safety Feature</t>
        </is>
      </c>
      <c r="C56" s="230" t="inlineStr">
        <is>
          <t>Prio</t>
        </is>
      </c>
      <c r="D56" s="230" t="inlineStr">
        <is>
          <t>Enyaq iV</t>
        </is>
      </c>
      <c r="E56" s="230" t="inlineStr">
        <is>
          <t>Ioniq 5</t>
        </is>
      </c>
      <c r="F56" s="230" t="inlineStr">
        <is>
          <t>EV6</t>
        </is>
      </c>
    </row>
    <row r="57" ht="15" customHeight="1" s="136">
      <c r="B57" s="199" t="inlineStr">
        <is>
          <t>Matrix/adaptive LED headlights</t>
        </is>
      </c>
      <c r="C57" s="200" t="n"/>
      <c r="D57" s="202" t="inlineStr">
        <is>
          <t>⚠ Sportline+ or option</t>
        </is>
      </c>
      <c r="E57" s="202" t="inlineStr">
        <is>
          <t>⚠ Lounge+ (pixel LED)</t>
        </is>
      </c>
      <c r="F57" s="202" t="inlineStr">
        <is>
          <t>⚠ GT-Line S only</t>
        </is>
      </c>
    </row>
    <row r="58" ht="15" customHeight="1" s="136">
      <c r="B58" s="199" t="inlineStr">
        <is>
          <t>Cornering lights (turn with steering)</t>
        </is>
      </c>
      <c r="C58" s="200" t="n"/>
      <c r="D58" s="203" t="inlineStr">
        <is>
          <t>✅ Fog lights act as cornering</t>
        </is>
      </c>
      <c r="E58" s="201" t="inlineStr">
        <is>
          <t>❌ Not available</t>
        </is>
      </c>
      <c r="F58" s="201" t="inlineStr">
        <is>
          <t>❌ Not available</t>
        </is>
      </c>
    </row>
    <row r="59" ht="15" customHeight="1" s="136">
      <c r="B59" s="199" t="inlineStr">
        <is>
          <t>Lane Keep Assist (LKA)</t>
        </is>
      </c>
      <c r="C59" s="200" t="n"/>
      <c r="D59" s="203" t="inlineStr">
        <is>
          <t>✅ Standard (all)</t>
        </is>
      </c>
      <c r="E59" s="203" t="inlineStr">
        <is>
          <t>✅ Standard (all)</t>
        </is>
      </c>
      <c r="F59" s="203" t="inlineStr">
        <is>
          <t>✅ Standard (all)</t>
        </is>
      </c>
    </row>
    <row r="60" ht="15" customHeight="1" s="136">
      <c r="B60" s="199" t="inlineStr">
        <is>
          <t>Lane Following Assist (centring)</t>
        </is>
      </c>
      <c r="C60" s="200" t="n"/>
      <c r="D60" s="203" t="inlineStr">
        <is>
          <t>✅ Travel Assist pkg</t>
        </is>
      </c>
      <c r="E60" s="203" t="inlineStr">
        <is>
          <t>✅ HDA 2 (all)</t>
        </is>
      </c>
      <c r="F60" s="203" t="inlineStr">
        <is>
          <t>✅ HDA 2 (all)</t>
        </is>
      </c>
    </row>
    <row r="61" ht="15" customHeight="1" s="136">
      <c r="B61" s="199" t="inlineStr">
        <is>
          <t>Automatic Emergency Braking (AEB)</t>
        </is>
      </c>
      <c r="C61" s="200" t="n"/>
      <c r="D61" s="203" t="inlineStr">
        <is>
          <t>✅ Standard (all)</t>
        </is>
      </c>
      <c r="E61" s="203" t="inlineStr">
        <is>
          <t>✅ Standard (all)</t>
        </is>
      </c>
      <c r="F61" s="203" t="inlineStr">
        <is>
          <t>✅ Standard (all)</t>
        </is>
      </c>
    </row>
    <row r="62" ht="15" customHeight="1" s="136">
      <c r="B62" s="199" t="inlineStr">
        <is>
          <t>Blind Spot Collision Avoidance</t>
        </is>
      </c>
      <c r="C62" s="200" t="n"/>
      <c r="D62" s="202" t="inlineStr">
        <is>
          <t>⚠ Side Assist pkg</t>
        </is>
      </c>
      <c r="E62" s="203" t="inlineStr">
        <is>
          <t>✅ Standard (all)</t>
        </is>
      </c>
      <c r="F62" s="203" t="inlineStr">
        <is>
          <t>✅ Standard (all)</t>
        </is>
      </c>
    </row>
    <row r="63" ht="15" customHeight="1" s="136">
      <c r="B63" s="199" t="inlineStr">
        <is>
          <t>Rear Cross-Traffic Alert + Brake</t>
        </is>
      </c>
      <c r="C63" s="200" t="n"/>
      <c r="D63" s="202" t="inlineStr">
        <is>
          <t>⚠ Side Assist pkg</t>
        </is>
      </c>
      <c r="E63" s="203" t="inlineStr">
        <is>
          <t>✅ Standard (all)</t>
        </is>
      </c>
      <c r="F63" s="203" t="inlineStr">
        <is>
          <t>✅ Standard (all)</t>
        </is>
      </c>
    </row>
    <row r="64" ht="15" customHeight="1" s="136">
      <c r="B64" s="199" t="inlineStr">
        <is>
          <t>Electronic Stability Control (ESC)</t>
        </is>
      </c>
      <c r="C64" s="200" t="n"/>
      <c r="D64" s="203" t="inlineStr">
        <is>
          <t>✅ Standard (EU law)</t>
        </is>
      </c>
      <c r="E64" s="203" t="inlineStr">
        <is>
          <t>✅ Standard (EU law)</t>
        </is>
      </c>
      <c r="F64" s="203" t="inlineStr">
        <is>
          <t>✅ Standard (EU law)</t>
        </is>
      </c>
    </row>
    <row r="65" ht="15" customHeight="1" s="136">
      <c r="B65" s="199" t="inlineStr">
        <is>
          <t>Traction control / anti-skid</t>
        </is>
      </c>
      <c r="C65" s="200" t="n"/>
      <c r="D65" s="203" t="inlineStr">
        <is>
          <t>✅ Standard (all)</t>
        </is>
      </c>
      <c r="E65" s="203" t="inlineStr">
        <is>
          <t>✅ Standard (all)</t>
        </is>
      </c>
      <c r="F65" s="203" t="inlineStr">
        <is>
          <t>✅ Standard (all)</t>
        </is>
      </c>
    </row>
    <row r="66" ht="15" customHeight="1" s="136">
      <c r="B66" s="199" t="inlineStr">
        <is>
          <t>Driver Attention Warning (fatigue)</t>
        </is>
      </c>
      <c r="C66" s="200" t="n"/>
      <c r="D66" s="203" t="inlineStr">
        <is>
          <t>✅ Standard (all)</t>
        </is>
      </c>
      <c r="E66" s="203" t="inlineStr">
        <is>
          <t>✅ Standard (all)</t>
        </is>
      </c>
      <c r="F66" s="203" t="inlineStr">
        <is>
          <t>✅ Standard (all)</t>
        </is>
      </c>
    </row>
    <row r="67" ht="15" customHeight="1" s="136">
      <c r="B67" s="199" t="inlineStr">
        <is>
          <t>Speed Limit Recognition (ISLA)</t>
        </is>
      </c>
      <c r="C67" s="200" t="n"/>
      <c r="D67" s="203" t="inlineStr">
        <is>
          <t>✅ Standard (all)</t>
        </is>
      </c>
      <c r="E67" s="203" t="inlineStr">
        <is>
          <t>✅ Standard (all)</t>
        </is>
      </c>
      <c r="F67" s="203" t="inlineStr">
        <is>
          <t>✅ Standard (all)</t>
        </is>
      </c>
    </row>
    <row r="68" ht="15" customHeight="1" s="136">
      <c r="B68" s="199" t="inlineStr">
        <is>
          <t>Airbags (incl. centre)</t>
        </is>
      </c>
      <c r="C68" s="200" t="n"/>
      <c r="D68" s="203" t="inlineStr">
        <is>
          <t>✅ 8 airbags</t>
        </is>
      </c>
      <c r="E68" s="203" t="inlineStr">
        <is>
          <t>✅ 7 airbags</t>
        </is>
      </c>
      <c r="F68" s="203" t="inlineStr">
        <is>
          <t>✅ 7 airbags</t>
        </is>
      </c>
    </row>
    <row r="69" ht="15" customHeight="1" s="136">
      <c r="B69" s="199" t="inlineStr">
        <is>
          <t>High Beam Assist</t>
        </is>
      </c>
      <c r="C69" s="200" t="n"/>
      <c r="D69" s="203" t="inlineStr">
        <is>
          <t>✅ Standard (all)</t>
        </is>
      </c>
      <c r="E69" s="203" t="inlineStr">
        <is>
          <t>✅ Standard (all)</t>
        </is>
      </c>
      <c r="F69" s="203" t="inlineStr">
        <is>
          <t>✅ Standard (all)</t>
        </is>
      </c>
    </row>
    <row r="70" ht="15" customHeight="1" s="136">
      <c r="B70" s="199" t="inlineStr">
        <is>
          <t>Euro NCAP rating</t>
        </is>
      </c>
      <c r="C70" s="200" t="n"/>
      <c r="D70" s="203" t="inlineStr">
        <is>
          <t>✅ 5 stars (2021)</t>
        </is>
      </c>
      <c r="E70" s="203" t="inlineStr">
        <is>
          <t>✅ 5 stars (2021)</t>
        </is>
      </c>
      <c r="F70" s="203" t="inlineStr">
        <is>
          <t>✅ 5 stars (2022)</t>
        </is>
      </c>
    </row>
    <row r="72" ht="15" customHeight="1" s="136">
      <c r="B72" s="221" t="inlineStr">
        <is>
          <t>NOTES ON SAFETY</t>
        </is>
      </c>
    </row>
    <row r="73" ht="15" customHeight="1" s="136">
      <c r="B73" s="222" t="inlineStr">
        <is>
          <t>Ice detection: No car has a dedicated ice sensor. ESC + traction control handle slippery surfaces automatically. Winter tyres are far more important.</t>
        </is>
      </c>
    </row>
    <row r="74" ht="15" customHeight="1" s="136">
      <c r="B74" s="222" t="inlineStr">
        <is>
          <t>Cornering headlights: Only the Enyaq has these (fog lights double as cornering lights). Ioniq 5 and EV6 do not steer their beams with the wheel.</t>
        </is>
      </c>
    </row>
    <row r="75" ht="15" customHeight="1" s="136">
      <c r="B75" s="222" t="inlineStr">
        <is>
          <t>Matrix LED: These are the headlights that selectively dim individual pixels to avoid dazzling oncoming traffic. Premium feature on all three cars.</t>
        </is>
      </c>
    </row>
    <row r="76" ht="15" customHeight="1" s="136">
      <c r="B76" s="222" t="inlineStr">
        <is>
          <t>All three EVs scored 5 stars in Euro NCAP. The Ioniq 5 and EV6 have more safety tech as standard (blind spot, rear cross-traffic).</t>
        </is>
      </c>
    </row>
    <row r="78" ht="15" customHeight="1" s="136">
      <c r="B78" s="223" t="inlineStr">
        <is>
          <t>CABIN NOISE &amp; SOUND SYSTEM</t>
        </is>
      </c>
    </row>
    <row r="79" ht="15" customHeight="1" s="136">
      <c r="B79" s="224" t="inlineStr">
        <is>
          <t>How quiet and comfortable each car is at motorway speeds, plus audio system specs.</t>
        </is>
      </c>
    </row>
    <row r="80" ht="15" customHeight="1" s="136">
      <c r="B80" s="230" t="inlineStr">
        <is>
          <t>Category</t>
        </is>
      </c>
      <c r="C80" s="230" t="n"/>
      <c r="D80" s="230" t="inlineStr">
        <is>
          <t>Enyaq iV</t>
        </is>
      </c>
      <c r="E80" s="230" t="inlineStr">
        <is>
          <t>Ioniq 5</t>
        </is>
      </c>
      <c r="F80" s="230" t="inlineStr">
        <is>
          <t>EV6</t>
        </is>
      </c>
    </row>
    <row r="81" ht="15" customHeight="1" s="136">
      <c r="B81" s="199" t="inlineStr">
        <is>
          <t>Cabin noise (80-120 km/h avg)</t>
        </is>
      </c>
      <c r="C81" s="198" t="n"/>
      <c r="D81" s="200" t="inlineStr">
        <is>
          <t>~67-68 dB</t>
        </is>
      </c>
      <c r="E81" s="203" t="inlineStr">
        <is>
          <t>~67 dB ★</t>
        </is>
      </c>
      <c r="F81" s="200" t="inlineStr">
        <is>
          <t>~68-69 dB</t>
        </is>
      </c>
    </row>
    <row r="82" ht="15" customHeight="1" s="136">
      <c r="B82" s="199" t="inlineStr">
        <is>
          <t>Main noise source at speed</t>
        </is>
      </c>
      <c r="C82" s="198" t="n"/>
      <c r="D82" s="200" t="inlineStr">
        <is>
          <t>Suspension thud, wind A-pillar</t>
        </is>
      </c>
      <c r="E82" s="200" t="inlineStr">
        <is>
          <t>Tyre noise (minimal)</t>
        </is>
      </c>
      <c r="F82" s="200" t="inlineStr">
        <is>
          <t>Road noise from floor</t>
        </is>
      </c>
    </row>
    <row r="83" ht="15" customHeight="1" s="136">
      <c r="B83" s="199" t="inlineStr">
        <is>
          <t>Sound insulation quality</t>
        </is>
      </c>
      <c r="C83" s="198" t="n"/>
      <c r="D83" s="200" t="inlineStr">
        <is>
          <t>Good</t>
        </is>
      </c>
      <c r="E83" s="203" t="inlineStr">
        <is>
          <t>Very good ★</t>
        </is>
      </c>
      <c r="F83" s="200" t="inlineStr">
        <is>
          <t>Good</t>
        </is>
      </c>
    </row>
    <row r="84" ht="15" customHeight="1" s="136">
      <c r="B84" s="199" t="inlineStr">
        <is>
          <t>Double-glazed windows</t>
        </is>
      </c>
      <c r="C84" s="198" t="n"/>
      <c r="D84" s="201" t="inlineStr">
        <is>
          <t>❌ No (option on L&amp;K)</t>
        </is>
      </c>
      <c r="E84" s="201" t="inlineStr">
        <is>
          <t>❌ No</t>
        </is>
      </c>
      <c r="F84" s="201" t="inlineStr">
        <is>
          <t>❌ No</t>
        </is>
      </c>
    </row>
    <row r="85" ht="15" customHeight="1" s="136">
      <c r="B85" s="199" t="inlineStr">
        <is>
          <t>Sound system (standard)</t>
        </is>
      </c>
      <c r="C85" s="198" t="n"/>
      <c r="D85" s="200" t="inlineStr">
        <is>
          <t>8 speakers (basic)</t>
        </is>
      </c>
      <c r="E85" s="200" t="inlineStr">
        <is>
          <t>6 speakers (basic)</t>
        </is>
      </c>
      <c r="F85" s="200" t="inlineStr">
        <is>
          <t>6 speakers (basic)</t>
        </is>
      </c>
    </row>
    <row r="86" ht="15" customHeight="1" s="136">
      <c r="B86" s="199" t="inlineStr">
        <is>
          <t>Sound system (premium)</t>
        </is>
      </c>
      <c r="C86" s="198" t="n"/>
      <c r="D86" s="200" t="inlineStr">
        <is>
          <t>Canton 12-14 spkrs + sub</t>
        </is>
      </c>
      <c r="E86" s="200" t="inlineStr">
        <is>
          <t>Bose 8 speakers</t>
        </is>
      </c>
      <c r="F86" s="203" t="inlineStr">
        <is>
          <t>Meridian 14 spkrs + sub ★</t>
        </is>
      </c>
    </row>
    <row r="87" ht="15" customHeight="1" s="136">
      <c r="B87" s="199" t="inlineStr">
        <is>
          <t>Premium audio on which trim?</t>
        </is>
      </c>
      <c r="C87" s="198" t="n"/>
      <c r="D87" s="202" t="inlineStr">
        <is>
          <t>⚠ L&amp;K / option</t>
        </is>
      </c>
      <c r="E87" s="202" t="inlineStr">
        <is>
          <t>⚠ Lounge+</t>
        </is>
      </c>
      <c r="F87" s="202" t="inlineStr">
        <is>
          <t>⚠ GT-Line</t>
        </is>
      </c>
    </row>
    <row r="88" ht="15" customHeight="1" s="136">
      <c r="B88" s="199" t="inlineStr">
        <is>
          <t>Subwoofer included?</t>
        </is>
      </c>
      <c r="C88" s="198" t="n"/>
      <c r="D88" s="200" t="inlineStr">
        <is>
          <t>✅ With Canton</t>
        </is>
      </c>
      <c r="E88" s="201" t="inlineStr">
        <is>
          <t>❌ Not with Bose</t>
        </is>
      </c>
      <c r="F88" s="200" t="inlineStr">
        <is>
          <t>✅ With Meridian</t>
        </is>
      </c>
    </row>
    <row r="90" ht="15" customHeight="1" s="136">
      <c r="B90" s="221" t="inlineStr">
        <is>
          <t>NOTES ON NOISE &amp; AUDIO</t>
        </is>
      </c>
    </row>
    <row r="91" ht="15" customHeight="1" s="136">
      <c r="B91" s="222" t="inlineStr">
        <is>
          <t>Ioniq 5 is the quietest of the three at motorway speeds. Reviewers consistently note it as one of the most refined EVs in this class.</t>
        </is>
      </c>
    </row>
    <row r="92" ht="15" customHeight="1" s="136">
      <c r="B92" s="222" t="inlineStr">
        <is>
          <t>EV6 has the best premium sound system (Meridian 14-speaker with subwoofer), but the Enyaq Canton system is also excellent.</t>
        </is>
      </c>
    </row>
    <row r="93" ht="15" customHeight="1" s="136">
      <c r="B93" s="222" t="inlineStr">
        <is>
          <t>The Ioniq 5 Bose system (8 speakers, no sub) is the weakest premium option. Owners report heavy bass emphasis. Consider aftermarket sub.</t>
        </is>
      </c>
    </row>
    <row r="94" ht="15" customHeight="1" s="136">
      <c r="B94" s="222" t="inlineStr">
        <is>
          <t>All EVs are dramatically quieter than the Picasso at motorway speeds. No engine drone = much more relaxing long drives.</t>
        </is>
      </c>
    </row>
    <row r="96" ht="15" customHeight="1" s="136">
      <c r="B96" s="223" t="inlineStr">
        <is>
          <t>SCHEDULED CABIN PREHEATING</t>
        </is>
      </c>
    </row>
    <row r="97" ht="15" customHeight="1" s="136">
      <c r="B97" s="224" t="inlineStr">
        <is>
          <t>"Warm the car before I get in" — all three EVs support this. Your Picasso cannot do this at all.</t>
        </is>
      </c>
    </row>
    <row r="98" ht="15" customHeight="1" s="136">
      <c r="B98" s="230" t="inlineStr">
        <is>
          <t>Feature</t>
        </is>
      </c>
      <c r="C98" s="230" t="n"/>
      <c r="D98" s="230" t="inlineStr">
        <is>
          <t>Enyaq iV</t>
        </is>
      </c>
      <c r="E98" s="230" t="inlineStr">
        <is>
          <t>Ioniq 5</t>
        </is>
      </c>
      <c r="F98" s="230" t="inlineStr">
        <is>
          <t>EV6</t>
        </is>
      </c>
    </row>
    <row r="99" ht="19.4" customHeight="1" s="136">
      <c r="B99" s="199" t="inlineStr">
        <is>
          <t>Scheduled departure time (auto preheat)</t>
        </is>
      </c>
      <c r="C99" s="198" t="n"/>
      <c r="D99" s="203" t="inlineStr">
        <is>
          <t>✅ MySkoda app</t>
        </is>
      </c>
      <c r="E99" s="203" t="inlineStr">
        <is>
          <t>✅ Bluelink app</t>
        </is>
      </c>
      <c r="F99" s="203" t="inlineStr">
        <is>
          <t>✅ Kia Connect app</t>
        </is>
      </c>
    </row>
    <row r="100" ht="15" customHeight="1" s="136">
      <c r="B100" s="199" t="inlineStr">
        <is>
          <t>On-demand remote "heat now"</t>
        </is>
      </c>
      <c r="C100" s="198" t="n"/>
      <c r="D100" s="203" t="inlineStr">
        <is>
          <t>✅ App or car button</t>
        </is>
      </c>
      <c r="E100" s="203" t="inlineStr">
        <is>
          <t>✅ App</t>
        </is>
      </c>
      <c r="F100" s="203" t="inlineStr">
        <is>
          <t>✅ App</t>
        </is>
      </c>
    </row>
    <row r="101" ht="15" customHeight="1" s="136">
      <c r="B101" s="199" t="inlineStr">
        <is>
          <t>Set target cabin temperature</t>
        </is>
      </c>
      <c r="C101" s="198" t="n"/>
      <c r="D101" s="203" t="inlineStr">
        <is>
          <t>✅ Yes</t>
        </is>
      </c>
      <c r="E101" s="203" t="inlineStr">
        <is>
          <t>✅ Yes</t>
        </is>
      </c>
      <c r="F101" s="203" t="inlineStr">
        <is>
          <t>✅ Yes</t>
        </is>
      </c>
    </row>
    <row r="102" ht="15" customHeight="1" s="136">
      <c r="B102" s="199" t="inlineStr">
        <is>
          <t>Heated seats via app</t>
        </is>
      </c>
      <c r="C102" s="198" t="n"/>
      <c r="D102" s="203" t="inlineStr">
        <is>
          <t>✅ Yes</t>
        </is>
      </c>
      <c r="E102" s="203" t="inlineStr">
        <is>
          <t>✅ Yes</t>
        </is>
      </c>
      <c r="F102" s="203" t="inlineStr">
        <is>
          <t>✅ Yes</t>
        </is>
      </c>
    </row>
    <row r="103" ht="15" customHeight="1" s="136">
      <c r="B103" s="199" t="inlineStr">
        <is>
          <t>Heated steering wheel via app</t>
        </is>
      </c>
      <c r="C103" s="198" t="n"/>
      <c r="D103" s="203" t="inlineStr">
        <is>
          <t>✅ Yes</t>
        </is>
      </c>
      <c r="E103" s="203" t="inlineStr">
        <is>
          <t>✅ Yes</t>
        </is>
      </c>
      <c r="F103" s="203" t="inlineStr">
        <is>
          <t>✅ Yes</t>
        </is>
      </c>
    </row>
    <row r="104" ht="15" customHeight="1" s="136">
      <c r="B104" s="199" t="inlineStr">
        <is>
          <t>Defrost windscreen remotely</t>
        </is>
      </c>
      <c r="C104" s="198" t="n"/>
      <c r="D104" s="203" t="inlineStr">
        <is>
          <t>✅ Yes</t>
        </is>
      </c>
      <c r="E104" s="203" t="inlineStr">
        <is>
          <t>✅ Yes</t>
        </is>
      </c>
      <c r="F104" s="203" t="inlineStr">
        <is>
          <t>✅ Yes</t>
        </is>
      </c>
    </row>
    <row r="105" ht="15" customHeight="1" s="136">
      <c r="B105" s="199" t="inlineStr">
        <is>
          <t>Works without being plugged in?</t>
        </is>
      </c>
      <c r="C105" s="198" t="n"/>
      <c r="D105" s="202" t="inlineStr">
        <is>
          <t>⚠ Yes, uses battery</t>
        </is>
      </c>
      <c r="E105" s="202" t="inlineStr">
        <is>
          <t>⚠ Yes, uses battery</t>
        </is>
      </c>
      <c r="F105" s="202" t="inlineStr">
        <is>
          <t>⚠ Yes, uses battery</t>
        </is>
      </c>
    </row>
    <row r="106" ht="15" customHeight="1" s="136">
      <c r="B106" s="199" t="inlineStr">
        <is>
          <t>Scheduled preheat while plugged in</t>
        </is>
      </c>
      <c r="C106" s="198" t="n"/>
      <c r="D106" s="203" t="inlineStr">
        <is>
          <t>✅ Uses mains power</t>
        </is>
      </c>
      <c r="E106" s="203" t="inlineStr">
        <is>
          <t>✅ Uses mains power*</t>
        </is>
      </c>
      <c r="F106" s="203" t="inlineStr">
        <is>
          <t>✅ Uses mains power*</t>
        </is>
      </c>
    </row>
    <row r="108" ht="15" customHeight="1" s="136">
      <c r="B108" s="221" t="inlineStr">
        <is>
          <t>NOTES ON PREHEATING</t>
        </is>
      </c>
    </row>
    <row r="109" ht="15" customHeight="1" s="136">
      <c r="B109" s="222" t="inlineStr">
        <is>
          <t>*Ioniq 5 &amp; EV6 caveat: scheduled preheat only works while the car is ACTIVELY charging. If the battery hits 100% before your departure time, preheat won't start. Set charge limit to 80-90% or time your charging to overlap with departure.</t>
        </is>
      </c>
    </row>
    <row r="110" ht="15" customHeight="1" s="136">
      <c r="B110" s="222" t="inlineStr">
        <is>
          <t>The Enyaq is reportedly more reliable at scheduled preheating — it draws from mains even if charging is complete.</t>
        </is>
      </c>
    </row>
    <row r="111" ht="15" customHeight="1" s="136">
      <c r="B111" s="222" t="inlineStr">
        <is>
          <t>All three can preheat from battery alone (not plugged in), but this uses 1-3 kWh — roughly 5-15 km of range.</t>
        </is>
      </c>
    </row>
    <row r="112" ht="15" customHeight="1" s="136">
      <c r="B112" s="222" t="inlineStr">
        <is>
          <t>Your Picasso cannot do any of this. This is a genuine lifestyle upgrade in Dutch winters.</t>
        </is>
      </c>
    </row>
    <row r="114" ht="15" customHeight="1" s="136">
      <c r="B114" s="223" t="inlineStr">
        <is>
          <t>CLIMATE CONTROL &amp; PRE-CONDITIONING</t>
        </is>
      </c>
    </row>
    <row r="115" ht="15" customHeight="1" s="136">
      <c r="B115" s="224" t="inlineStr">
        <is>
          <t>Scheduled cabin heating/cooling and air conditioning — an EV perk your Picasso can't match.</t>
        </is>
      </c>
    </row>
    <row r="116" ht="15" customHeight="1" s="136">
      <c r="B116" s="230" t="inlineStr">
        <is>
          <t>Feature</t>
        </is>
      </c>
      <c r="C116" s="230" t="n"/>
      <c r="D116" s="230" t="inlineStr">
        <is>
          <t>Enyaq iV</t>
        </is>
      </c>
      <c r="E116" s="230" t="inlineStr">
        <is>
          <t>Ioniq 5</t>
        </is>
      </c>
      <c r="F116" s="230" t="inlineStr">
        <is>
          <t>EV6</t>
        </is>
      </c>
    </row>
    <row r="117" ht="15" customHeight="1" s="136">
      <c r="B117" s="199" t="inlineStr">
        <is>
          <t>Remote climate start (via app)</t>
        </is>
      </c>
      <c r="C117" s="198" t="n"/>
      <c r="D117" s="203" t="inlineStr">
        <is>
          <t>✅ MySkoda app</t>
        </is>
      </c>
      <c r="E117" s="203" t="inlineStr">
        <is>
          <t>✅ Bluelink app</t>
        </is>
      </c>
      <c r="F117" s="203" t="inlineStr">
        <is>
          <t>✅ Kia Connect app</t>
        </is>
      </c>
    </row>
    <row r="118" ht="15" customHeight="1" s="136">
      <c r="B118" s="199" t="inlineStr">
        <is>
          <t>Scheduled departure time</t>
        </is>
      </c>
      <c r="C118" s="198" t="n"/>
      <c r="D118" s="203" t="inlineStr">
        <is>
          <t>✅ Set weekly schedule</t>
        </is>
      </c>
      <c r="E118" s="203" t="inlineStr">
        <is>
          <t>✅ Set departure time</t>
        </is>
      </c>
      <c r="F118" s="203" t="inlineStr">
        <is>
          <t>✅ Set departure time</t>
        </is>
      </c>
    </row>
    <row r="119" ht="15" customHeight="1" s="136">
      <c r="B119" s="199" t="inlineStr">
        <is>
          <t>Heats cabin + defrosts windscreen</t>
        </is>
      </c>
      <c r="C119" s="198" t="n"/>
      <c r="D119" s="203" t="inlineStr">
        <is>
          <t>✅ Yes</t>
        </is>
      </c>
      <c r="E119" s="203" t="inlineStr">
        <is>
          <t>✅ Yes</t>
        </is>
      </c>
      <c r="F119" s="203" t="inlineStr">
        <is>
          <t>✅ Yes + steering wheel</t>
        </is>
      </c>
    </row>
    <row r="120" ht="15" customHeight="1" s="136">
      <c r="B120" s="199" t="inlineStr">
        <is>
          <t>Works while plugged in (free heat)</t>
        </is>
      </c>
      <c r="C120" s="198" t="n"/>
      <c r="D120" s="203" t="inlineStr">
        <is>
          <t>✅ Uses charger power</t>
        </is>
      </c>
      <c r="E120" s="203" t="inlineStr">
        <is>
          <t>✅ Uses charger power</t>
        </is>
      </c>
      <c r="F120" s="203" t="inlineStr">
        <is>
          <t>✅ Uses charger power</t>
        </is>
      </c>
    </row>
    <row r="121" ht="15" customHeight="1" s="136">
      <c r="B121" s="199" t="inlineStr">
        <is>
          <t>Works unplugged (uses battery)</t>
        </is>
      </c>
      <c r="C121" s="198" t="n"/>
      <c r="D121" s="203" t="inlineStr">
        <is>
          <t>✅ Yes</t>
        </is>
      </c>
      <c r="E121" s="202" t="inlineStr">
        <is>
          <t>⚠ Inconsistent reports</t>
        </is>
      </c>
      <c r="F121" s="203" t="inlineStr">
        <is>
          <t>✅ Yes (after SW update)</t>
        </is>
      </c>
    </row>
    <row r="122" ht="15" customHeight="1" s="136">
      <c r="B122" s="199" t="inlineStr">
        <is>
          <t>App subscription required?</t>
        </is>
      </c>
      <c r="C122" s="198" t="n"/>
      <c r="D122" s="202" t="inlineStr">
        <is>
          <t>⚠ Care Connect sub</t>
        </is>
      </c>
      <c r="E122" s="202" t="inlineStr">
        <is>
          <t>⚠ Bluelink sub (varies)</t>
        </is>
      </c>
      <c r="F122" s="202" t="inlineStr">
        <is>
          <t>⚠ Kia Connect sub</t>
        </is>
      </c>
    </row>
    <row r="123" ht="15" customHeight="1" s="136">
      <c r="B123" s="199" t="inlineStr">
        <is>
          <t>Air conditioning type</t>
        </is>
      </c>
      <c r="C123" s="198" t="n"/>
      <c r="D123" s="203" t="inlineStr">
        <is>
          <t>✅ Tri-zone (all trims)</t>
        </is>
      </c>
      <c r="E123" s="203" t="inlineStr">
        <is>
          <t>✅ Dual-zone (all trims)</t>
        </is>
      </c>
      <c r="F123" s="203" t="inlineStr">
        <is>
          <t>✅ Dual-zone (all trims)</t>
        </is>
      </c>
    </row>
    <row r="124" ht="15" customHeight="1" s="136">
      <c r="B124" s="199" t="inlineStr">
        <is>
          <t>Heat pump (efficient heating)</t>
        </is>
      </c>
      <c r="C124" s="198" t="n"/>
      <c r="D124" s="202" t="inlineStr">
        <is>
          <t>⚠ Option (~€1,000)</t>
        </is>
      </c>
      <c r="E124" s="203" t="inlineStr">
        <is>
          <t>✅ Std from 2023+</t>
        </is>
      </c>
      <c r="F124" s="202" t="inlineStr">
        <is>
          <t>⚠ GT-Line+ or option</t>
        </is>
      </c>
    </row>
    <row r="125" ht="15" customHeight="1" s="136">
      <c r="B125" s="199" t="inlineStr">
        <is>
          <t>Cooling performance</t>
        </is>
      </c>
      <c r="C125" s="198" t="n"/>
      <c r="D125" s="203" t="inlineStr">
        <is>
          <t>✅ Effective</t>
        </is>
      </c>
      <c r="E125" s="203" t="inlineStr">
        <is>
          <t>✅ Effective</t>
        </is>
      </c>
      <c r="F125" s="203" t="inlineStr">
        <is>
          <t>✅ Effective</t>
        </is>
      </c>
    </row>
    <row r="126" ht="15" customHeight="1" s="136">
      <c r="B126" s="199" t="inlineStr">
        <is>
          <t>Rear vents for passengers?</t>
        </is>
      </c>
      <c r="C126" s="198" t="n"/>
      <c r="D126" s="203" t="inlineStr">
        <is>
          <t>✅ Yes (tri-zone)</t>
        </is>
      </c>
      <c r="E126" s="203" t="inlineStr">
        <is>
          <t>✅ Yes</t>
        </is>
      </c>
      <c r="F126" s="203" t="inlineStr">
        <is>
          <t>✅ Yes</t>
        </is>
      </c>
    </row>
    <row r="128" ht="15" customHeight="1" s="136">
      <c r="B128" s="221" t="inlineStr">
        <is>
          <t>NOTES ON CLIMATE</t>
        </is>
      </c>
    </row>
    <row r="129" ht="15" customHeight="1" s="136">
      <c r="B129" s="222" t="inlineStr">
        <is>
          <t>All three can warm the cabin before you get in on cold mornings — set a schedule in the app. Plug in overnight and it uses charger power, not battery.</t>
        </is>
      </c>
    </row>
    <row r="130" ht="15" customHeight="1" s="136">
      <c r="B130" s="222" t="inlineStr">
        <is>
          <t>The Enyaq has tri-zone AC (driver, passenger, rear separate controls). The Ioniq 5 and EV6 have dual-zone (left/right). All are effective.</t>
        </is>
      </c>
    </row>
    <row r="131" ht="15" customHeight="1" s="136">
      <c r="B131" s="222" t="inlineStr">
        <is>
          <t>Heat pump: improves winter range by 10-20%. Standard on Ioniq 5 from 2023+. Option on Enyaq (~€1,000) and lower EV6 trims. Check when buying used.</t>
        </is>
      </c>
    </row>
    <row r="132" ht="15" customHeight="1" s="136">
      <c r="B132" s="222" t="inlineStr">
        <is>
          <t>App subscriptions: all three brands charge for remote features after initial free period (typically 1-3 years). Budget ~€100-150/year.</t>
        </is>
      </c>
    </row>
    <row r="134" ht="15" customHeight="1" s="136">
      <c r="B134" s="223" t="inlineStr">
        <is>
          <t>CLIMATE CONTROL &amp; PRE-CONDITIONING</t>
        </is>
      </c>
    </row>
    <row r="135" ht="15" customHeight="1" s="136">
      <c r="B135" s="230" t="inlineStr">
        <is>
          <t>Feature</t>
        </is>
      </c>
      <c r="C135" s="230" t="n"/>
      <c r="D135" s="230" t="inlineStr">
        <is>
          <t>Enyaq iV</t>
        </is>
      </c>
      <c r="E135" s="230" t="inlineStr">
        <is>
          <t>Ioniq 5</t>
        </is>
      </c>
      <c r="F135" s="230" t="inlineStr">
        <is>
          <t>EV6</t>
        </is>
      </c>
    </row>
    <row r="136" ht="19.4" customHeight="1" s="136">
      <c r="B136" s="199" t="inlineStr">
        <is>
          <t>Scheduled cabin pre-heating</t>
        </is>
      </c>
      <c r="C136" s="198" t="n"/>
      <c r="D136" s="203" t="inlineStr">
        <is>
          <t>✅ Via MySkoda app
Set weekday/time</t>
        </is>
      </c>
      <c r="E136" s="202" t="inlineStr">
        <is>
          <t>⚠ Via Bluelink app
Must be plugged in + charging</t>
        </is>
      </c>
      <c r="F136" s="202" t="inlineStr">
        <is>
          <t>⚠ Via Kia Connect app
Must be plugged in + charging</t>
        </is>
      </c>
    </row>
    <row r="137" ht="15" customHeight="1" s="136">
      <c r="B137" s="199" t="inlineStr">
        <is>
          <t>Remote "heat now" button</t>
        </is>
      </c>
      <c r="C137" s="198" t="n"/>
      <c r="D137" s="203" t="inlineStr">
        <is>
          <t>✅ App + in-car</t>
        </is>
      </c>
      <c r="E137" s="203" t="inlineStr">
        <is>
          <t>✅ App</t>
        </is>
      </c>
      <c r="F137" s="203" t="inlineStr">
        <is>
          <t>✅ App</t>
        </is>
      </c>
    </row>
    <row r="138" ht="15" customHeight="1" s="136">
      <c r="B138" s="199" t="inlineStr">
        <is>
          <t>Heated steering wheel</t>
        </is>
      </c>
      <c r="C138" s="198" t="n"/>
      <c r="D138" s="203" t="inlineStr">
        <is>
          <t>✅ Standard (most)</t>
        </is>
      </c>
      <c r="E138" s="203" t="inlineStr">
        <is>
          <t>✅ Standard (most)</t>
        </is>
      </c>
      <c r="F138" s="203" t="inlineStr">
        <is>
          <t>✅ Standard (Wind+)</t>
        </is>
      </c>
    </row>
    <row r="139" ht="15" customHeight="1" s="136">
      <c r="B139" s="199" t="inlineStr">
        <is>
          <t>Heated front seats</t>
        </is>
      </c>
      <c r="C139" s="198" t="n"/>
      <c r="D139" s="203" t="inlineStr">
        <is>
          <t>✅ Standard (all)</t>
        </is>
      </c>
      <c r="E139" s="203" t="inlineStr">
        <is>
          <t>✅ Standard (all)</t>
        </is>
      </c>
      <c r="F139" s="203" t="inlineStr">
        <is>
          <t>✅ Standard (all)</t>
        </is>
      </c>
    </row>
    <row r="140" ht="15" customHeight="1" s="136">
      <c r="B140" s="199" t="inlineStr">
        <is>
          <t>Heated rear seats</t>
        </is>
      </c>
      <c r="C140" s="198" t="n"/>
      <c r="D140" s="202" t="inlineStr">
        <is>
          <t>⚠ Higher trims</t>
        </is>
      </c>
      <c r="E140" s="202" t="inlineStr">
        <is>
          <t>⚠ Higher trims</t>
        </is>
      </c>
      <c r="F140" s="202" t="inlineStr">
        <is>
          <t>⚠ GT-Line</t>
        </is>
      </c>
    </row>
    <row r="141" ht="15" customHeight="1" s="136">
      <c r="B141" s="199" t="inlineStr">
        <is>
          <t>Air conditioning system</t>
        </is>
      </c>
      <c r="C141" s="198" t="n"/>
      <c r="D141" s="203" t="inlineStr">
        <is>
          <t>✅ Tri-zone auto</t>
        </is>
      </c>
      <c r="E141" s="203" t="inlineStr">
        <is>
          <t>✅ Dual-zone auto</t>
        </is>
      </c>
      <c r="F141" s="203" t="inlineStr">
        <is>
          <t>✅ Dual-zone auto</t>
        </is>
      </c>
    </row>
    <row r="142" ht="15" customHeight="1" s="136">
      <c r="B142" s="199" t="inlineStr">
        <is>
          <t>AC effectiveness (reviews)</t>
        </is>
      </c>
      <c r="C142" s="198" t="n"/>
      <c r="D142" s="203" t="inlineStr">
        <is>
          <t>✅ Excellent (3 zones)</t>
        </is>
      </c>
      <c r="E142" s="203" t="inlineStr">
        <is>
          <t>✅ Very good</t>
        </is>
      </c>
      <c r="F142" s="203" t="inlineStr">
        <is>
          <t>✅ Very good</t>
        </is>
      </c>
    </row>
    <row r="143" ht="15" customHeight="1" s="136">
      <c r="B143" s="199" t="inlineStr">
        <is>
          <t>Heat pump (winter range)</t>
        </is>
      </c>
      <c r="C143" s="198" t="n"/>
      <c r="D143" s="202" t="inlineStr">
        <is>
          <t>⚠ Not std — ask seller!</t>
        </is>
      </c>
      <c r="E143" s="202" t="inlineStr">
        <is>
          <t>⚠ Not std — ask seller!</t>
        </is>
      </c>
      <c r="F143" s="202" t="inlineStr">
        <is>
          <t>⚠ Not std — ask seller!</t>
        </is>
      </c>
    </row>
    <row r="146" ht="15" customHeight="1" s="136">
      <c r="B146" s="223" t="inlineStr">
        <is>
          <t>PERFORMANCE &amp; EFFICIENCY vs PICASSO</t>
        </is>
      </c>
    </row>
    <row r="147" ht="15" customHeight="1" s="136">
      <c r="B147" s="230" t="inlineStr">
        <is>
          <t>Spec</t>
        </is>
      </c>
      <c r="C147" s="230" t="n"/>
      <c r="D147" s="230" t="inlineStr">
        <is>
          <t>Your Picasso</t>
        </is>
      </c>
      <c r="E147" s="230" t="inlineStr">
        <is>
          <t>Ioniq 5 RWD</t>
        </is>
      </c>
      <c r="F147" s="230" t="inlineStr">
        <is>
          <t>EV6 RWD</t>
        </is>
      </c>
      <c r="G147" s="230" t="inlineStr">
        <is>
          <t>Enyaq iV 80</t>
        </is>
      </c>
    </row>
    <row r="148" ht="15" customHeight="1" s="136">
      <c r="B148" s="199" t="inlineStr">
        <is>
          <t>Power (kW / hp)</t>
        </is>
      </c>
      <c r="C148" s="198" t="n"/>
      <c r="D148" s="200" t="inlineStr">
        <is>
          <t>96 / 131 hp</t>
        </is>
      </c>
      <c r="E148" s="200" t="inlineStr">
        <is>
          <t>168 / 228 hp</t>
        </is>
      </c>
      <c r="F148" s="200" t="inlineStr">
        <is>
          <t>168 / 228 hp</t>
        </is>
      </c>
      <c r="G148" s="200" t="inlineStr">
        <is>
          <t>150 / 204 hp</t>
        </is>
      </c>
    </row>
    <row r="149" ht="15" customHeight="1" s="136">
      <c r="B149" s="199" t="inlineStr">
        <is>
          <t>Torque</t>
        </is>
      </c>
      <c r="C149" s="198" t="n"/>
      <c r="D149" s="200" t="inlineStr">
        <is>
          <t>230 Nm</t>
        </is>
      </c>
      <c r="E149" s="200" t="inlineStr">
        <is>
          <t>350 Nm (instant)</t>
        </is>
      </c>
      <c r="F149" s="200" t="inlineStr">
        <is>
          <t>350 Nm (instant)</t>
        </is>
      </c>
      <c r="G149" s="200" t="inlineStr">
        <is>
          <t>310 Nm (instant)</t>
        </is>
      </c>
    </row>
    <row r="150" ht="15" customHeight="1" s="136">
      <c r="B150" s="199" t="inlineStr">
        <is>
          <t>Weight</t>
        </is>
      </c>
      <c r="C150" s="198" t="n"/>
      <c r="D150" s="200" t="inlineStr">
        <is>
          <t>~1,300 kg</t>
        </is>
      </c>
      <c r="E150" s="200" t="inlineStr">
        <is>
          <t>~1,900 kg</t>
        </is>
      </c>
      <c r="F150" s="200" t="inlineStr">
        <is>
          <t>~1,930 kg</t>
        </is>
      </c>
      <c r="G150" s="200" t="inlineStr">
        <is>
          <t>~1,900 kg</t>
        </is>
      </c>
    </row>
    <row r="151" ht="15" customHeight="1" s="136">
      <c r="B151" s="199" t="inlineStr">
        <is>
          <t>Power-to-weight</t>
        </is>
      </c>
      <c r="C151" s="198" t="n"/>
      <c r="D151" s="201" t="inlineStr">
        <is>
          <t>101 hp/ton ❌</t>
        </is>
      </c>
      <c r="E151" s="200" t="inlineStr">
        <is>
          <t>120 hp/ton</t>
        </is>
      </c>
      <c r="F151" s="200" t="inlineStr">
        <is>
          <t>118 hp/ton</t>
        </is>
      </c>
      <c r="G151" s="200" t="inlineStr">
        <is>
          <t>107 hp/ton</t>
        </is>
      </c>
    </row>
    <row r="152" ht="15" customHeight="1" s="136">
      <c r="B152" s="199" t="inlineStr">
        <is>
          <t>0-100 km/h</t>
        </is>
      </c>
      <c r="C152" s="198" t="n"/>
      <c r="D152" s="201" t="inlineStr">
        <is>
          <t>10.8 sec ❌</t>
        </is>
      </c>
      <c r="E152" s="200" t="inlineStr">
        <is>
          <t>7.4 sec</t>
        </is>
      </c>
      <c r="F152" s="200" t="inlineStr">
        <is>
          <t>7.3 sec</t>
        </is>
      </c>
      <c r="G152" s="200" t="inlineStr">
        <is>
          <t>8.1 sec</t>
        </is>
      </c>
    </row>
    <row r="153" ht="15" customHeight="1" s="136">
      <c r="B153" s="199" t="inlineStr">
        <is>
          <t>Feels fast because...</t>
        </is>
      </c>
      <c r="C153" s="198" t="n"/>
      <c r="D153" s="200" t="inlineStr">
        <is>
          <t>It doesn't</t>
        </is>
      </c>
      <c r="E153" s="200" t="inlineStr">
        <is>
          <t>Instant torque from 0</t>
        </is>
      </c>
      <c r="F153" s="200" t="inlineStr">
        <is>
          <t>Instant torque from 0</t>
        </is>
      </c>
      <c r="G153" s="200" t="inlineStr">
        <is>
          <t>Instant torque from 0</t>
        </is>
      </c>
    </row>
    <row r="154" ht="19.4" customHeight="1" s="136">
      <c r="B154" s="199" t="inlineStr">
        <is>
          <t>City efficiency</t>
        </is>
      </c>
      <c r="C154" s="198" t="n"/>
      <c r="D154" s="200" t="inlineStr">
        <is>
          <t>~8-9 L/100km
(€16-18/100km)</t>
        </is>
      </c>
      <c r="E154" s="203" t="inlineStr">
        <is>
          <t>~14-16 kWh/100km
(€4-5/100km) ★</t>
        </is>
      </c>
      <c r="F154" s="200" t="inlineStr">
        <is>
          <t>~15-17 kWh/100km
(€5-6/100km)</t>
        </is>
      </c>
      <c r="G154" s="200" t="inlineStr">
        <is>
          <t>~15-17 kWh/100km
(€5-6/100km)</t>
        </is>
      </c>
    </row>
    <row r="155" ht="19.4" customHeight="1" s="136">
      <c r="B155" s="199" t="inlineStr">
        <is>
          <t>Motorway 120 km/h</t>
        </is>
      </c>
      <c r="C155" s="198" t="n"/>
      <c r="D155" s="200" t="inlineStr">
        <is>
          <t>~7 L/100km
(€14/100km)</t>
        </is>
      </c>
      <c r="E155" s="203" t="inlineStr">
        <is>
          <t>~20-22 kWh/100km
(€6-7/100km) ★</t>
        </is>
      </c>
      <c r="F155" s="200" t="inlineStr">
        <is>
          <t>~20-22 kWh/100km
(€6-7/100km)</t>
        </is>
      </c>
      <c r="G155" s="200" t="inlineStr">
        <is>
          <t>~21-23 kWh/100km
(€7/100km)</t>
        </is>
      </c>
    </row>
    <row r="156" ht="15" customHeight="1" s="136">
      <c r="B156" s="199" t="inlineStr">
        <is>
          <t>Regen braking</t>
        </is>
      </c>
      <c r="C156" s="198" t="n"/>
      <c r="D156" s="200" t="inlineStr">
        <is>
          <t>N/A</t>
        </is>
      </c>
      <c r="E156" s="200" t="inlineStr">
        <is>
          <t>✅ One-pedal driving</t>
        </is>
      </c>
      <c r="F156" s="200" t="inlineStr">
        <is>
          <t>✅ One-pedal driving</t>
        </is>
      </c>
      <c r="G156" s="200" t="inlineStr">
        <is>
          <t>✅ Regen levels B/D</t>
        </is>
      </c>
    </row>
    <row r="158" ht="15" customHeight="1" s="136">
      <c r="B158" s="221" t="inlineStr">
        <is>
          <t>NOTES ON PERFORMANCE</t>
        </is>
      </c>
    </row>
    <row r="159" ht="15" customHeight="1" s="136">
      <c r="B159" s="222" t="inlineStr">
        <is>
          <t>EVs feel dramatically faster than their 0-100 suggests. Torque is 100% available from standstill — no turbo lag, no gear changes. Merging onto motorways is effortless.</t>
        </is>
      </c>
    </row>
    <row r="160" ht="15" customHeight="1" s="136">
      <c r="B160" s="222" t="inlineStr">
        <is>
          <t>City driving is where EVs really shine on efficiency. Stop-start traffic = regenerative braking recovers energy. Your Picasso wastes fuel idling; EVs use nothing at standstill.</t>
        </is>
      </c>
    </row>
    <row r="161" ht="15" customHeight="1" s="136">
      <c r="B161" s="222" t="inlineStr">
        <is>
          <t>Motorway cruising at 120 km/h is the LEAST efficient EV scenario. Air resistance dominates. Budget ~20% less range than WLTP rating for sustained motorway driving.</t>
        </is>
      </c>
    </row>
    <row r="162" ht="15" customHeight="1" s="136">
      <c r="B162" s="222" t="inlineStr">
        <is>
          <t>One-pedal driving: lift off the accelerator and the car brakes itself via regen. Many EV owners never touch the brake pedal in normal driving. Transforms city driving.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A3C5E"/>
    <outlinePr summaryBelow="1" summaryRight="1"/>
    <pageSetUpPr fitToPage="0"/>
  </sheetPr>
  <dimension ref="B1:E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" customWidth="1" style="135" min="1" max="1"/>
    <col width="40" customWidth="1" style="135" min="2" max="2"/>
    <col width="18" customWidth="1" style="135" min="3" max="3"/>
    <col width="14" customWidth="1" style="135" min="4" max="4"/>
    <col width="40" customWidth="1" style="135" min="5" max="5"/>
  </cols>
  <sheetData>
    <row r="1" ht="19.5" customHeight="1" s="136">
      <c r="B1" s="137" t="inlineStr">
        <is>
          <t>Family Car Project — Key Assumptions</t>
        </is>
      </c>
    </row>
    <row r="2" ht="15" customHeight="1" s="136">
      <c r="B2" s="138" t="inlineStr">
        <is>
          <t>All values in EUR unless stated. Blue = editable input.</t>
        </is>
      </c>
    </row>
    <row r="4" ht="15.75" customHeight="1" s="136">
      <c r="B4" s="231" t="inlineStr">
        <is>
          <t>GENERAL ASSUMPTIONS</t>
        </is>
      </c>
    </row>
    <row r="5" ht="15" customHeight="1" s="136">
      <c r="B5" s="139" t="inlineStr">
        <is>
          <t>Parameter</t>
        </is>
      </c>
      <c r="C5" s="139" t="inlineStr">
        <is>
          <t>Value</t>
        </is>
      </c>
      <c r="D5" s="139" t="inlineStr">
        <is>
          <t>Unit</t>
        </is>
      </c>
      <c r="E5" s="139" t="inlineStr">
        <is>
          <t>Notes</t>
        </is>
      </c>
    </row>
    <row r="6" ht="15" customHeight="1" s="136">
      <c r="B6" s="142" t="inlineStr">
        <is>
          <t>Ownership period</t>
        </is>
      </c>
      <c r="C6" s="232" t="n">
        <v>5</v>
      </c>
      <c r="D6" s="233" t="inlineStr">
        <is>
          <t>years</t>
        </is>
      </c>
      <c r="E6" s="234" t="inlineStr">
        <is>
          <t>How long you plan to keep the new car</t>
        </is>
      </c>
    </row>
    <row r="7" ht="15" customHeight="1" s="136">
      <c r="B7" s="142" t="inlineStr">
        <is>
          <t>Annual kilometres driven</t>
        </is>
      </c>
      <c r="C7" s="232" t="n">
        <v>20000</v>
      </c>
      <c r="D7" s="233" t="inlineStr">
        <is>
          <t>km</t>
        </is>
      </c>
      <c r="E7" s="234" t="inlineStr">
        <is>
          <t>Total annual driving</t>
        </is>
      </c>
    </row>
    <row r="8" ht="15" customHeight="1" s="136">
      <c r="B8" s="142" t="inlineStr">
        <is>
          <t>Vacation km per year</t>
        </is>
      </c>
      <c r="C8" s="232" t="n">
        <v>4000</v>
      </c>
      <c r="D8" s="233" t="inlineStr">
        <is>
          <t>km</t>
        </is>
      </c>
      <c r="E8" s="234" t="inlineStr">
        <is>
          <t>Km driven during 3-4 weeks vacation</t>
        </is>
      </c>
    </row>
    <row r="9" ht="15" customHeight="1" s="136">
      <c r="B9" s="142" t="inlineStr">
        <is>
          <t>Daily driving km per year</t>
        </is>
      </c>
      <c r="C9" s="232" t="n">
        <v>16000</v>
      </c>
      <c r="D9" s="233" t="inlineStr">
        <is>
          <t>km</t>
        </is>
      </c>
      <c r="E9" s="234" t="inlineStr">
        <is>
          <t>Total minus vacation km</t>
        </is>
      </c>
    </row>
    <row r="10" ht="15" customHeight="1" s="136">
      <c r="B10" s="142" t="inlineStr">
        <is>
          <t>Vacation rental weeks per year</t>
        </is>
      </c>
      <c r="C10" s="232" t="n">
        <v>3</v>
      </c>
      <c r="D10" s="233" t="inlineStr">
        <is>
          <t>weeks (3 weeks SUV rental, e.g. Volvo XC60)</t>
        </is>
      </c>
      <c r="E10" s="234" t="inlineStr">
        <is>
          <t>Scenario C only</t>
        </is>
      </c>
    </row>
    <row r="11" ht="15" customHeight="1" s="136">
      <c r="B11" s="142" t="inlineStr">
        <is>
          <t>Location</t>
        </is>
      </c>
      <c r="C11" s="235" t="inlineStr">
        <is>
          <t>Spaarndam, Noord-Holland</t>
        </is>
      </c>
      <c r="D11" s="233" t="n"/>
      <c r="E11" s="234" t="inlineStr">
        <is>
          <t>Affects road tax (opcenten)</t>
        </is>
      </c>
    </row>
    <row r="13" ht="15.75" customHeight="1" s="136">
      <c r="B13" s="231" t="inlineStr">
        <is>
          <t>CURRENT CAR: CITROËN GRAND C4 PICASSO 1.2 PURETECH (2017)</t>
        </is>
      </c>
    </row>
    <row r="14" ht="15" customHeight="1" s="136">
      <c r="B14" s="139" t="inlineStr">
        <is>
          <t>Parameter</t>
        </is>
      </c>
      <c r="C14" s="139" t="inlineStr">
        <is>
          <t>Value</t>
        </is>
      </c>
      <c r="D14" s="139" t="inlineStr">
        <is>
          <t>Unit</t>
        </is>
      </c>
      <c r="E14" s="139" t="inlineStr">
        <is>
          <t>Notes</t>
        </is>
      </c>
    </row>
    <row r="15" ht="15" customHeight="1" s="136">
      <c r="B15" s="142" t="inlineStr">
        <is>
          <t>Fuel consumption (real-world)</t>
        </is>
      </c>
      <c r="C15" s="232" t="n">
        <v>7.5</v>
      </c>
      <c r="D15" s="233" t="inlineStr">
        <is>
          <t>L/100km</t>
        </is>
      </c>
      <c r="E15" s="234" t="inlineStr">
        <is>
          <t>You use ~50L every 2 weeks = ~1,300L/yr = ~17,300 km at this rate</t>
        </is>
      </c>
    </row>
    <row r="16" ht="15" customHeight="1" s="136">
      <c r="B16" s="142" t="inlineStr">
        <is>
          <t>Petrol price (Euro 95)</t>
        </is>
      </c>
      <c r="C16" s="236" t="n">
        <v>2</v>
      </c>
      <c r="D16" s="233" t="inlineStr">
        <is>
          <t>€/litre</t>
        </is>
      </c>
      <c r="E16" s="234" t="inlineStr">
        <is>
          <t>Typical NL price (varies €1.85-2.53)</t>
        </is>
      </c>
    </row>
    <row r="17" ht="15" customHeight="1" s="136">
      <c r="B17" s="142" t="inlineStr">
        <is>
          <t>Annual fuel cost</t>
        </is>
      </c>
      <c r="C17" s="145">
        <f>C7*(C15/100)*C16</f>
        <v/>
      </c>
      <c r="D17" s="237" t="inlineStr">
        <is>
          <t>€/year</t>
        </is>
      </c>
      <c r="E17" s="238" t="inlineStr">
        <is>
          <t>NL price used; vacation fuel abroad is cheaper (see sensitivity)</t>
        </is>
      </c>
    </row>
    <row r="18" ht="15" customHeight="1" s="136">
      <c r="B18" s="142" t="inlineStr">
        <is>
          <t>Road tax (motorrijtuigenbelasting)</t>
        </is>
      </c>
      <c r="C18" s="239" t="n">
        <v>796</v>
      </c>
      <c r="D18" s="233" t="inlineStr">
        <is>
          <t>€/year</t>
        </is>
      </c>
      <c r="E18" s="234" t="inlineStr">
        <is>
          <t>Est. for ~1,392kg petrol, Noord-Holland</t>
        </is>
      </c>
    </row>
    <row r="19" ht="15" customHeight="1" s="136">
      <c r="B19" s="142" t="inlineStr">
        <is>
          <t>Insurance (WA+ / allrisk)</t>
        </is>
      </c>
      <c r="C19" s="239" t="n">
        <v>852</v>
      </c>
      <c r="D19" s="233" t="inlineStr">
        <is>
          <t>€/year</t>
        </is>
      </c>
      <c r="E19" s="234" t="inlineStr">
        <is>
          <t>€71/month actual</t>
        </is>
      </c>
    </row>
    <row r="20" ht="15" customHeight="1" s="136">
      <c r="B20" s="142" t="inlineStr">
        <is>
          <t>Annual maintenance &amp; service</t>
        </is>
      </c>
      <c r="C20" s="239" t="n">
        <v>450</v>
      </c>
      <c r="D20" s="233" t="inlineStr">
        <is>
          <t>€/year</t>
        </is>
      </c>
      <c r="E20" s="234" t="inlineStr">
        <is>
          <t>Service + wear items</t>
        </is>
      </c>
    </row>
    <row r="21" ht="15" customHeight="1" s="136">
      <c r="B21" s="142" t="inlineStr">
        <is>
          <t>Estimated resale value now</t>
        </is>
      </c>
      <c r="C21" s="239" t="n">
        <v>6909</v>
      </c>
      <c r="D21" s="233" t="inlineStr">
        <is>
          <t>€</t>
        </is>
      </c>
      <c r="E21" s="234" t="inlineStr">
        <is>
          <t>€6,500 realistic private sale at 174,000 km (belt overdue, high mileage)</t>
        </is>
      </c>
    </row>
    <row r="22" ht="15" customHeight="1" s="136">
      <c r="B22" s="142" t="inlineStr">
        <is>
          <t>Estimated resale in 5 years</t>
        </is>
      </c>
      <c r="C22" s="239" t="n">
        <v>1000</v>
      </c>
      <c r="D22" s="233" t="inlineStr">
        <is>
          <t>€</t>
        </is>
      </c>
      <c r="E22" s="234" t="inlineStr">
        <is>
          <t>2017 PureTech at ~274k km in 5 years — near scrap value</t>
        </is>
      </c>
    </row>
    <row r="24" ht="15.75" customHeight="1" s="136">
      <c r="B24" s="231" t="inlineStr">
        <is>
          <t>SCENARIO B: LARGE FAMILY EV (e.g. Hyundai Ioniq 5 / Skoda Enyaq)</t>
        </is>
      </c>
    </row>
    <row r="25" ht="15" customHeight="1" s="136">
      <c r="B25" s="139" t="inlineStr">
        <is>
          <t>Parameter</t>
        </is>
      </c>
      <c r="C25" s="139" t="inlineStr">
        <is>
          <t>Value</t>
        </is>
      </c>
      <c r="D25" s="139" t="inlineStr">
        <is>
          <t>Unit</t>
        </is>
      </c>
      <c r="E25" s="139" t="inlineStr">
        <is>
          <t>Notes</t>
        </is>
      </c>
    </row>
    <row r="26" ht="15" customHeight="1" s="136">
      <c r="B26" s="142" t="inlineStr">
        <is>
          <t>Purchase price (second-hand)</t>
        </is>
      </c>
      <c r="C26" s="239" t="n">
        <v>27000</v>
      </c>
      <c r="D26" s="233" t="inlineStr">
        <is>
          <t>€</t>
        </is>
      </c>
      <c r="E26" s="234" t="inlineStr">
        <is>
          <t>2021-2023 model, good condition</t>
        </is>
      </c>
    </row>
    <row r="27" ht="15" customHeight="1" s="136">
      <c r="B27" s="142" t="inlineStr">
        <is>
          <t>Electricity consumption</t>
        </is>
      </c>
      <c r="C27" s="239" t="n">
        <v>18</v>
      </c>
      <c r="D27" s="233" t="inlineStr">
        <is>
          <t>kWh/100km</t>
        </is>
      </c>
      <c r="E27" s="234" t="inlineStr">
        <is>
          <t>Real-world average for mid-size EV</t>
        </is>
      </c>
    </row>
    <row r="28" ht="15" customHeight="1" s="136">
      <c r="B28" s="142" t="inlineStr">
        <is>
          <t>Home charging cost</t>
        </is>
      </c>
      <c r="C28" s="236" t="n">
        <v>0.22</v>
      </c>
      <c r="D28" s="233" t="inlineStr">
        <is>
          <t>€/kWh</t>
        </is>
      </c>
      <c r="E28" s="234" t="inlineStr">
        <is>
          <t>Avg NL home tariff incl. network costs</t>
        </is>
      </c>
    </row>
    <row r="29" ht="15" customHeight="1" s="136">
      <c r="B29" s="142" t="inlineStr">
        <is>
          <t>Public charging cost (avg)</t>
        </is>
      </c>
      <c r="C29" s="236" t="n">
        <v>0.45</v>
      </c>
      <c r="D29" s="233" t="inlineStr">
        <is>
          <t>€/kWh</t>
        </is>
      </c>
      <c r="E29" s="234" t="inlineStr">
        <is>
          <t>Mix of AC public + occasional DC</t>
        </is>
      </c>
    </row>
    <row r="30" ht="15" customHeight="1" s="136">
      <c r="B30" s="142" t="inlineStr">
        <is>
          <t>Home vs public charging split</t>
        </is>
      </c>
      <c r="C30" s="236" t="n">
        <v>0.75</v>
      </c>
      <c r="D30" s="233" t="n"/>
      <c r="E30" s="234" t="inlineStr">
        <is>
          <t>75% home, 25% public</t>
        </is>
      </c>
    </row>
    <row r="31" ht="15" customHeight="1" s="136">
      <c r="B31" s="142" t="inlineStr">
        <is>
          <t>Blended electricity cost per kWh</t>
        </is>
      </c>
      <c r="C31" s="240">
        <f>C30*C28+(1-C30)*C29</f>
        <v/>
      </c>
      <c r="D31" s="237" t="inlineStr">
        <is>
          <t>€/kWh</t>
        </is>
      </c>
      <c r="E31" s="238" t="inlineStr">
        <is>
          <t>Weighted average of home + public</t>
        </is>
      </c>
    </row>
    <row r="32" ht="15" customHeight="1" s="136">
      <c r="B32" s="142" t="inlineStr">
        <is>
          <t>Annual electricity cost</t>
        </is>
      </c>
      <c r="C32" s="145">
        <f>C7*(C27/100)*C31</f>
        <v/>
      </c>
      <c r="D32" s="237" t="inlineStr">
        <is>
          <t>€/year</t>
        </is>
      </c>
      <c r="E32" s="238" t="inlineStr">
        <is>
          <t>km x consumption x blended price</t>
        </is>
      </c>
    </row>
    <row r="33" ht="15" customHeight="1" s="136">
      <c r="B33" s="142" t="inlineStr">
        <is>
          <t>Road tax (2026-2028: 30% discount)</t>
        </is>
      </c>
      <c r="C33" s="239" t="n">
        <v>1008</v>
      </c>
      <c r="D33" s="233" t="inlineStr">
        <is>
          <t>€/year</t>
        </is>
      </c>
      <c r="E33" s="234" t="inlineStr">
        <is>
          <t>Est. 70% of ~€515 base for EV weight</t>
        </is>
      </c>
    </row>
    <row r="34" ht="15" customHeight="1" s="136">
      <c r="B34" s="142" t="inlineStr">
        <is>
          <t>Road tax (2029: 25% discount)</t>
        </is>
      </c>
      <c r="C34" s="239" t="n">
        <v>1080</v>
      </c>
      <c r="D34" s="233" t="inlineStr">
        <is>
          <t>€/year</t>
        </is>
      </c>
      <c r="E34" s="234" t="inlineStr">
        <is>
          <t>75% of base</t>
        </is>
      </c>
    </row>
    <row r="35" ht="15" customHeight="1" s="136">
      <c r="B35" s="142" t="inlineStr">
        <is>
          <t>Road tax (2030+: full rate)</t>
        </is>
      </c>
      <c r="C35" s="239" t="n">
        <v>1440</v>
      </c>
      <c r="D35" s="233" t="inlineStr">
        <is>
          <t>€/year</t>
        </is>
      </c>
      <c r="E35" s="234" t="inlineStr">
        <is>
          <t>Full rate from 2030</t>
        </is>
      </c>
    </row>
    <row r="36" ht="15" customHeight="1" s="136">
      <c r="B36" s="142" t="inlineStr">
        <is>
          <t>Insurance</t>
        </is>
      </c>
      <c r="C36" s="239" t="n">
        <v>1050</v>
      </c>
      <c r="D36" s="233" t="inlineStr">
        <is>
          <t>€/year</t>
        </is>
      </c>
      <c r="E36" s="234" t="inlineStr">
        <is>
          <t>~20% more than Picasso. Higher car value (€23k vs €8.5k) + EV surcharge (~16-20%). Based on NL research.</t>
        </is>
      </c>
    </row>
    <row r="37" ht="15" customHeight="1" s="136">
      <c r="B37" s="142" t="inlineStr">
        <is>
          <t>Annual maintenance</t>
        </is>
      </c>
      <c r="C37" s="239" t="n">
        <v>500</v>
      </c>
      <c r="D37" s="233" t="inlineStr">
        <is>
          <t>€/year</t>
        </is>
      </c>
      <c r="E37" s="234" t="inlineStr">
        <is>
          <t>Service, tyres, brakes (regen helps)</t>
        </is>
      </c>
    </row>
    <row r="38" ht="15" customHeight="1" s="136">
      <c r="B38" s="142" t="inlineStr">
        <is>
          <t>Home wallbox installation</t>
        </is>
      </c>
      <c r="C38" s="239" t="n">
        <v>1200</v>
      </c>
      <c r="D38" s="233" t="inlineStr">
        <is>
          <t>€</t>
        </is>
      </c>
      <c r="E38" s="234" t="inlineStr">
        <is>
          <t>One-time: charger hardware + install</t>
        </is>
      </c>
    </row>
    <row r="39" ht="15" customHeight="1" s="136">
      <c r="B39" s="142" t="inlineStr">
        <is>
          <t>Estimated resale in 5 years</t>
        </is>
      </c>
      <c r="C39" s="239" t="n">
        <v>13500</v>
      </c>
      <c r="D39" s="233" t="inlineStr">
        <is>
          <t>€</t>
        </is>
      </c>
      <c r="E39" s="234" t="inlineStr">
        <is>
          <t>Conservative: EVs hold value well</t>
        </is>
      </c>
    </row>
    <row r="41" ht="15.75" customHeight="1" s="136">
      <c r="B41" s="231" t="inlineStr">
        <is>
          <t>SCENARIO C: SMALL RUNAROUND EV + VACATION RENTAL</t>
        </is>
      </c>
    </row>
    <row r="42" ht="15" customHeight="1" s="136">
      <c r="B42" s="139" t="inlineStr">
        <is>
          <t>Parameter</t>
        </is>
      </c>
      <c r="C42" s="139" t="inlineStr">
        <is>
          <t>Value</t>
        </is>
      </c>
      <c r="D42" s="139" t="inlineStr">
        <is>
          <t>Unit</t>
        </is>
      </c>
      <c r="E42" s="139" t="inlineStr">
        <is>
          <t>Notes</t>
        </is>
      </c>
    </row>
    <row r="43" ht="15" customHeight="1" s="136">
      <c r="B43" s="142" t="inlineStr">
        <is>
          <t>Purchase price (second-hand)</t>
        </is>
      </c>
      <c r="C43" s="239" t="n">
        <v>13000</v>
      </c>
      <c r="D43" s="233" t="inlineStr">
        <is>
          <t>€</t>
        </is>
      </c>
      <c r="E43" s="234" t="inlineStr">
        <is>
          <t>e.g. Renault Zoe / Nissan Leaf 2020-2022</t>
        </is>
      </c>
    </row>
    <row r="44" ht="15" customHeight="1" s="136">
      <c r="B44" s="142" t="inlineStr">
        <is>
          <t>Electricity consumption</t>
        </is>
      </c>
      <c r="C44" s="239" t="n">
        <v>15</v>
      </c>
      <c r="D44" s="233" t="inlineStr">
        <is>
          <t>kWh/100km</t>
        </is>
      </c>
      <c r="E44" s="234" t="inlineStr">
        <is>
          <t>Smaller, lighter EV = more efficient</t>
        </is>
      </c>
    </row>
    <row r="45" ht="15" customHeight="1" s="136">
      <c r="B45" s="142" t="inlineStr">
        <is>
          <t>Blended electricity cost</t>
        </is>
      </c>
      <c r="C45" s="240">
        <f>C31</f>
        <v/>
      </c>
      <c r="D45" s="237" t="inlineStr">
        <is>
          <t>€/kWh</t>
        </is>
      </c>
      <c r="E45" s="238" t="inlineStr">
        <is>
          <t>Same blend as Scenario B</t>
        </is>
      </c>
    </row>
    <row r="46" ht="15" customHeight="1" s="136">
      <c r="B46" s="142" t="inlineStr">
        <is>
          <t>Annual electricity cost (daily driving only)</t>
        </is>
      </c>
      <c r="C46" s="145">
        <f>C9*(C44/100)*C45</f>
        <v/>
      </c>
      <c r="D46" s="237" t="inlineStr">
        <is>
          <t>€/year</t>
        </is>
      </c>
      <c r="E46" s="238" t="inlineStr">
        <is>
          <t>Daily km x consumption x price</t>
        </is>
      </c>
    </row>
    <row r="47" ht="15" customHeight="1" s="136">
      <c r="B47" s="142" t="inlineStr">
        <is>
          <t>Road tax (2026-2028: 30% discount)</t>
        </is>
      </c>
      <c r="C47" s="239" t="n">
        <v>784</v>
      </c>
      <c r="D47" s="233" t="inlineStr">
        <is>
          <t>€/year</t>
        </is>
      </c>
      <c r="E47" s="234" t="inlineStr">
        <is>
          <t>Lighter car = lower base</t>
        </is>
      </c>
    </row>
    <row r="48" ht="15" customHeight="1" s="136">
      <c r="B48" s="142" t="inlineStr">
        <is>
          <t>Road tax (2029: 25% discount)</t>
        </is>
      </c>
      <c r="C48" s="239" t="n">
        <v>840</v>
      </c>
      <c r="D48" s="233" t="inlineStr">
        <is>
          <t>€/year</t>
        </is>
      </c>
      <c r="E48" s="234" t="inlineStr">
        <is>
          <t>75% of base</t>
        </is>
      </c>
    </row>
    <row r="49" ht="15" customHeight="1" s="136">
      <c r="B49" s="142" t="inlineStr">
        <is>
          <t>Road tax (2030+: full rate)</t>
        </is>
      </c>
      <c r="C49" s="239" t="n">
        <v>1120</v>
      </c>
      <c r="D49" s="233" t="inlineStr">
        <is>
          <t>€/year</t>
        </is>
      </c>
      <c r="E49" s="234" t="inlineStr">
        <is>
          <t>Full rate from 2030</t>
        </is>
      </c>
    </row>
    <row r="50" ht="15" customHeight="1" s="136">
      <c r="B50" s="142" t="inlineStr">
        <is>
          <t>Insurance</t>
        </is>
      </c>
      <c r="C50" s="239" t="n">
        <v>720</v>
      </c>
      <c r="D50" s="233" t="inlineStr">
        <is>
          <t>€/year</t>
        </is>
      </c>
      <c r="E50" s="234" t="inlineStr">
        <is>
          <t>Lower car value (€13k) partly offsets EV surcharge. ~€60/month.</t>
        </is>
      </c>
    </row>
    <row r="51" ht="15" customHeight="1" s="136">
      <c r="B51" s="142" t="inlineStr">
        <is>
          <t>Annual maintenance</t>
        </is>
      </c>
      <c r="C51" s="239" t="n">
        <v>400</v>
      </c>
      <c r="D51" s="233" t="inlineStr">
        <is>
          <t>€/year</t>
        </is>
      </c>
      <c r="E51" s="234" t="inlineStr">
        <is>
          <t>Less wear on smaller EV</t>
        </is>
      </c>
    </row>
    <row r="52" ht="15" customHeight="1" s="136">
      <c r="B52" s="142" t="inlineStr">
        <is>
          <t>Home wallbox installation</t>
        </is>
      </c>
      <c r="C52" s="239" t="n">
        <v>1200</v>
      </c>
      <c r="D52" s="233" t="inlineStr">
        <is>
          <t>€</t>
        </is>
      </c>
      <c r="E52" s="234" t="inlineStr">
        <is>
          <t>Same as Scenario B (one-time)</t>
        </is>
      </c>
    </row>
    <row r="53" ht="15" customHeight="1" s="136">
      <c r="B53" s="142" t="inlineStr">
        <is>
          <t>Weekly rental cost (family car)</t>
        </is>
      </c>
      <c r="C53" s="239" t="n">
        <v>700</v>
      </c>
      <c r="D53" s="233" t="inlineStr">
        <is>
          <t>€/week (€100/day all-in: rental + insurance + fees, e.g. Volvo XC60)</t>
        </is>
      </c>
      <c r="E53" s="234" t="inlineStr">
        <is>
          <t>Avg NL weekly rate for SUV/MPV (peak ~€400, off-peak ~€300)</t>
        </is>
      </c>
    </row>
    <row r="54" ht="15" customHeight="1" s="136">
      <c r="B54" s="142" t="inlineStr">
        <is>
          <t>Rental fuel/charging cost per week</t>
        </is>
      </c>
      <c r="C54" s="239" t="n">
        <v>100</v>
      </c>
      <c r="D54" s="233" t="inlineStr">
        <is>
          <t>€/week (SUV fuel for ~1,300 km vacation driving)</t>
        </is>
      </c>
      <c r="E54" s="234" t="inlineStr">
        <is>
          <t>Fuel for ~1,000 km/week; cheaper abroad (UK/Belgium)</t>
        </is>
      </c>
    </row>
    <row r="55" ht="15" customHeight="1" s="136">
      <c r="B55" s="142" t="inlineStr">
        <is>
          <t>Annual rental cost</t>
        </is>
      </c>
      <c r="C55" s="145">
        <f>C10*(C53+C54)</f>
        <v/>
      </c>
      <c r="D55" s="237" t="inlineStr">
        <is>
          <t>€/year</t>
        </is>
      </c>
      <c r="E55" s="238" t="inlineStr">
        <is>
          <t>Weeks x (rental + fuel)</t>
        </is>
      </c>
    </row>
    <row r="56" ht="15" customHeight="1" s="136">
      <c r="B56" s="142" t="inlineStr">
        <is>
          <t>Estimated resale in 5 years</t>
        </is>
      </c>
      <c r="C56" s="239" t="n">
        <v>6000</v>
      </c>
      <c r="D56" s="233" t="inlineStr">
        <is>
          <t>€</t>
        </is>
      </c>
      <c r="E56" s="234" t="inlineStr">
        <is>
          <t>Smaller EVs depreciate more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B1:B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" customWidth="1" style="135" min="1" max="1"/>
    <col width="80" customWidth="1" style="135" min="2" max="2"/>
  </cols>
  <sheetData>
    <row r="1" ht="19.5" customHeight="1" s="136">
      <c r="B1" s="137" t="inlineStr">
        <is>
          <t>Research Notes &amp; Key Findings</t>
        </is>
      </c>
    </row>
    <row r="3" ht="15.75" customHeight="1" s="136">
      <c r="B3" s="241" t="inlineStr">
        <is>
          <t>YOUR CURRENT CAR</t>
        </is>
      </c>
    </row>
    <row r="4" ht="26.25" customHeight="1" s="136">
      <c r="B4" s="242" t="inlineStr">
        <is>
          <t>The Citroën Grand C4 Picasso 1.2 PureTech was available from the 2016 facelift onwards. Your 2017 registration is consistent.</t>
        </is>
      </c>
    </row>
    <row r="5" ht="26.25" customHeight="1" s="136">
      <c r="B5" s="242" t="inlineStr">
        <is>
          <t>Real-world fuel consumption is ~7.5 L/100km (47% above the official 5.1 L/100km figure).</t>
        </is>
      </c>
    </row>
    <row r="6" ht="26.25" customHeight="1" s="136">
      <c r="B6" s="242" t="inlineStr">
        <is>
          <t>At current NL petrol prices of €2.53/L and 20,000 km/year, you spend ~€3,795/year on fuel alone.</t>
        </is>
      </c>
    </row>
    <row r="7" ht="15" customHeight="1" s="136">
      <c r="B7" s="242" t="inlineStr">
        <is>
          <t>Estimated private sale value: €5,500-7,500 at 174,000 km (timing belt overdue, high mileage).</t>
        </is>
      </c>
    </row>
    <row r="9" ht="15.75" customHeight="1" s="136">
      <c r="B9" s="241" t="inlineStr">
        <is>
          <t>EV INSURANCE IN THE NETHERLANDS</t>
        </is>
      </c>
    </row>
    <row r="10" ht="15" customHeight="1" s="136">
      <c r="B10" s="242" t="inlineStr">
        <is>
          <t>EV insurance premiums are typically 15-20% higher than equivalent ICE vehicles.</t>
        </is>
      </c>
    </row>
    <row r="11" ht="15" customHeight="1" s="136">
      <c r="B11" s="242" t="inlineStr">
        <is>
          <t>Main reason: battery repair/replacement is expensive (30-50% of vehicle value).</t>
        </is>
      </c>
    </row>
    <row r="12" ht="15" customHeight="1" s="136">
      <c r="B12" s="242" t="inlineStr">
        <is>
          <t>However, overall TCO savings from fuel and maintenance often more than offset this.</t>
        </is>
      </c>
    </row>
    <row r="13" ht="26.25" customHeight="1" s="136">
      <c r="B13" s="242" t="inlineStr">
        <is>
          <t>Tip: Use Dutch comparison sites (Independer, Pricewise) for accurate quotes for specific models.</t>
        </is>
      </c>
    </row>
    <row r="15" ht="15.75" customHeight="1" s="136">
      <c r="B15" s="241" t="inlineStr">
        <is>
          <t>ROAD TAX (MOTORRIJTUIGENBELASTING) CHANGES</t>
        </is>
      </c>
    </row>
    <row r="16" ht="15" customHeight="1" s="136">
      <c r="B16" s="242" t="inlineStr">
        <is>
          <t>2024: EVs were fully exempt (€0).</t>
        </is>
      </c>
    </row>
    <row r="17" ht="15" customHeight="1" s="136">
      <c r="B17" s="242" t="inlineStr">
        <is>
          <t>2025: 75% discount (you pay only 25% of standard rate).</t>
        </is>
      </c>
    </row>
    <row r="18" ht="15" customHeight="1" s="136">
      <c r="B18" s="242" t="inlineStr">
        <is>
          <t>2026-2028: 30% discount (you pay 70% of standard rate).</t>
        </is>
      </c>
    </row>
    <row r="19" ht="15" customHeight="1" s="136">
      <c r="B19" s="242" t="inlineStr">
        <is>
          <t>2029: 25% discount (you pay 75%).</t>
        </is>
      </c>
    </row>
    <row r="20" ht="15" customHeight="1" s="136">
      <c r="B20" s="242" t="inlineStr">
        <is>
          <t>2030+: Full rate — no more EV discount.</t>
        </is>
      </c>
    </row>
    <row r="21" ht="15" customHeight="1" s="136">
      <c r="B21" s="242" t="inlineStr">
        <is>
          <t>This means buying NOW still captures significant tax savings in the first few years.</t>
        </is>
      </c>
    </row>
    <row r="23" ht="15.75" customHeight="1" s="136">
      <c r="B23" s="241" t="inlineStr">
        <is>
          <t>HOME CHARGING</t>
        </is>
      </c>
    </row>
    <row r="24" ht="15" customHeight="1" s="136">
      <c r="B24" s="242" t="inlineStr">
        <is>
          <t>Home charging (wallbox) is by far the cheapest way to charge: €0.15-0.25/kWh.</t>
        </is>
      </c>
    </row>
    <row r="25" ht="15" customHeight="1" s="136">
      <c r="B25" s="242" t="inlineStr">
        <is>
          <t>Public AC charging: ~€0.45/kWh. Public DC fast charging: ~€0.73/kWh.</t>
        </is>
      </c>
    </row>
    <row r="26" ht="26.25" customHeight="1" s="136">
      <c r="B26" s="242" t="inlineStr">
        <is>
          <t>Wallbox + installation: ~€800-1,500 total. No government subsidy since 2024, but check your municipality.</t>
        </is>
      </c>
    </row>
    <row r="27" ht="26.25" customHeight="1" s="136">
      <c r="B27" s="242" t="inlineStr">
        <is>
          <t>With a dynamic electricity contract, you can charge as low as €0.08/kWh during off-peak hours.</t>
        </is>
      </c>
    </row>
    <row r="29" ht="15.75" customHeight="1" s="136">
      <c r="B29" s="241" t="inlineStr">
        <is>
          <t>KEY INSIGHT: THE RENTAL SCENARIO</t>
        </is>
      </c>
    </row>
    <row r="30" ht="26.25" customHeight="1" s="136">
      <c r="B30" s="242" t="inlineStr">
        <is>
          <t>Renting a large family car (MPV/SUV) for vacations costs approximately €500-600/week in the Netherlands.</t>
        </is>
      </c>
    </row>
    <row r="31" ht="15" customHeight="1" s="136">
      <c r="B31" s="242" t="inlineStr">
        <is>
          <t>For 4 weeks/year + fuel, that's ~€2,400/year in rental costs.</t>
        </is>
      </c>
    </row>
    <row r="32" ht="15" customHeight="1" s="136">
      <c r="B32" s="242" t="inlineStr">
        <is>
          <t>This is significant — it erodes much of the savings from buying a cheaper small EV.</t>
        </is>
      </c>
    </row>
    <row r="33" ht="26.25" customHeight="1" s="136">
      <c r="B33" s="242" t="inlineStr">
        <is>
          <t>The financial case depends heavily on: (a) how often you rent, and (b) the purchase price difference.</t>
        </is>
      </c>
    </row>
    <row r="35" ht="15.75" customHeight="1" s="136">
      <c r="B35" s="241" t="inlineStr">
        <is>
          <t>REGISTRATION NOTE</t>
        </is>
      </c>
    </row>
    <row r="36" ht="26.25" customHeight="1" s="136">
      <c r="B36" s="242" t="inlineStr">
        <is>
          <t>NL registration H416GS — Dutch registrations don't directly encode the year. The 2017 model year is plausible for this engine.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ED7D31"/>
    <outlinePr summaryBelow="1" summaryRight="1"/>
    <pageSetUpPr fitToPage="0"/>
  </sheetPr>
  <dimension ref="B1:G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" customWidth="1" style="135" min="1" max="1"/>
    <col width="22" customWidth="1" style="135" min="2" max="2"/>
    <col width="16" customWidth="1" style="135" min="3" max="7"/>
  </cols>
  <sheetData>
    <row r="1" ht="19.5" customHeight="1" s="136">
      <c r="B1" s="163" t="inlineStr">
        <is>
          <t>Fuel Price Sensitivity Analysis</t>
        </is>
      </c>
    </row>
    <row r="2" ht="15" customHeight="1" s="136">
      <c r="B2" s="164" t="inlineStr">
        <is>
          <t>NL petrol won't drop below €2.00/L — this shows the upside risk of keeping the Picasso.</t>
        </is>
      </c>
    </row>
    <row r="4" ht="15.75" customHeight="1" s="136">
      <c r="B4" s="165" t="inlineStr">
        <is>
          <t>ANNUAL FUEL COST AT DIFFERENT PETROL PRICES</t>
        </is>
      </c>
    </row>
    <row r="5" ht="15" customHeight="1" s="136">
      <c r="B5" s="139" t="inlineStr">
        <is>
          <t>Petrol Price</t>
        </is>
      </c>
      <c r="C5" s="139" t="inlineStr">
        <is>
          <t>Annual Fuel Cost</t>
        </is>
      </c>
      <c r="D5" s="139" t="inlineStr">
        <is>
          <t>Monthly Fuel Cost</t>
        </is>
      </c>
      <c r="E5" s="139" t="inlineStr">
        <is>
          <t>EV Electricity Cost</t>
        </is>
      </c>
      <c r="F5" s="139" t="inlineStr">
        <is>
          <t>Annual Saving with EV</t>
        </is>
      </c>
    </row>
    <row r="6" ht="15" customHeight="1" s="136">
      <c r="B6" s="243" t="n">
        <v>2</v>
      </c>
      <c r="C6" s="244">
        <f>Assumptions!C7*(Assumptions!C15/100)*B6</f>
        <v/>
      </c>
      <c r="D6" s="245">
        <f>C6/12</f>
        <v/>
      </c>
      <c r="E6" s="245">
        <f>Assumptions!C32</f>
        <v/>
      </c>
      <c r="F6" s="244">
        <f>C6-E6</f>
        <v/>
      </c>
      <c r="G6" s="246" t="inlineStr">
        <is>
          <t>← Your typical price now</t>
        </is>
      </c>
    </row>
    <row r="7" ht="15" customHeight="1" s="136">
      <c r="B7" s="247" t="n">
        <v>2.1</v>
      </c>
      <c r="C7" s="248">
        <f>Assumptions!C7*(Assumptions!C15/100)*B7</f>
        <v/>
      </c>
      <c r="D7" s="248">
        <f>C7/12</f>
        <v/>
      </c>
      <c r="E7" s="248">
        <f>Assumptions!C32</f>
        <v/>
      </c>
      <c r="F7" s="249">
        <f>C7-E7</f>
        <v/>
      </c>
    </row>
    <row r="8" ht="15" customHeight="1" s="136">
      <c r="B8" s="250" t="n">
        <v>2.2</v>
      </c>
      <c r="C8" s="251">
        <f>Assumptions!C7*(Assumptions!C15/100)*B8</f>
        <v/>
      </c>
      <c r="D8" s="251">
        <f>C8/12</f>
        <v/>
      </c>
      <c r="E8" s="251">
        <f>Assumptions!C32</f>
        <v/>
      </c>
      <c r="F8" s="252">
        <f>C8-E8</f>
        <v/>
      </c>
    </row>
    <row r="9" ht="15" customHeight="1" s="136">
      <c r="B9" s="247" t="n">
        <v>2.3</v>
      </c>
      <c r="C9" s="248">
        <f>Assumptions!C7*(Assumptions!C15/100)*B9</f>
        <v/>
      </c>
      <c r="D9" s="248">
        <f>C9/12</f>
        <v/>
      </c>
      <c r="E9" s="248">
        <f>Assumptions!C32</f>
        <v/>
      </c>
      <c r="F9" s="249">
        <f>C9-E9</f>
        <v/>
      </c>
    </row>
    <row r="10" ht="15" customHeight="1" s="136">
      <c r="B10" s="250" t="n">
        <v>2.4</v>
      </c>
      <c r="C10" s="251">
        <f>Assumptions!C7*(Assumptions!C15/100)*B10</f>
        <v/>
      </c>
      <c r="D10" s="251">
        <f>C10/12</f>
        <v/>
      </c>
      <c r="E10" s="251">
        <f>Assumptions!C32</f>
        <v/>
      </c>
      <c r="F10" s="252">
        <f>C10-E10</f>
        <v/>
      </c>
    </row>
    <row r="11" ht="15" customHeight="1" s="136">
      <c r="B11" s="247" t="n">
        <v>2.53</v>
      </c>
      <c r="C11" s="248">
        <f>Assumptions!C7*(Assumptions!C15/100)*B11</f>
        <v/>
      </c>
      <c r="D11" s="248">
        <f>C11/12</f>
        <v/>
      </c>
      <c r="E11" s="248">
        <f>Assumptions!C32</f>
        <v/>
      </c>
      <c r="F11" s="249">
        <f>C11-E11</f>
        <v/>
      </c>
    </row>
    <row r="12" ht="15" customHeight="1" s="136">
      <c r="B12" s="250" t="n">
        <v>2.7</v>
      </c>
      <c r="C12" s="251">
        <f>Assumptions!C7*(Assumptions!C15/100)*B12</f>
        <v/>
      </c>
      <c r="D12" s="251">
        <f>C12/12</f>
        <v/>
      </c>
      <c r="E12" s="251">
        <f>Assumptions!C32</f>
        <v/>
      </c>
      <c r="F12" s="252">
        <f>C12-E12</f>
        <v/>
      </c>
    </row>
    <row r="13" ht="15" customHeight="1" s="136">
      <c r="B13" s="247" t="n">
        <v>2.9</v>
      </c>
      <c r="C13" s="248">
        <f>Assumptions!C7*(Assumptions!C15/100)*B13</f>
        <v/>
      </c>
      <c r="D13" s="248">
        <f>C13/12</f>
        <v/>
      </c>
      <c r="E13" s="248">
        <f>Assumptions!C32</f>
        <v/>
      </c>
      <c r="F13" s="249">
        <f>C13-E13</f>
        <v/>
      </c>
    </row>
    <row r="16" ht="15.75" customHeight="1" s="136">
      <c r="B16" s="165" t="inlineStr">
        <is>
          <t>5-YEAR TOTAL COST AT EACH FUEL PRICE</t>
        </is>
      </c>
    </row>
    <row r="17" ht="15" customHeight="1" s="136">
      <c r="B17" s="164" t="inlineStr">
        <is>
          <t>EV scenarios are immune to fuel price swings — only the Picasso line moves.</t>
        </is>
      </c>
    </row>
    <row r="18" ht="15" customHeight="1" s="136">
      <c r="B18" s="139" t="inlineStr">
        <is>
          <t>Petrol Price</t>
        </is>
      </c>
      <c r="C18" s="139" t="inlineStr">
        <is>
          <t>A: Keep Picasso</t>
        </is>
      </c>
      <c r="D18" s="139" t="inlineStr">
        <is>
          <t>B: Large EV</t>
        </is>
      </c>
      <c r="E18" s="139" t="inlineStr">
        <is>
          <t>C: Small EV+Rental</t>
        </is>
      </c>
      <c r="F18" s="139" t="inlineStr">
        <is>
          <t>B saves vs A</t>
        </is>
      </c>
      <c r="G18" s="139" t="inlineStr">
        <is>
          <t>C saves vs A</t>
        </is>
      </c>
    </row>
    <row r="19" ht="15" customHeight="1" s="136">
      <c r="B19" s="243" t="n">
        <v>2</v>
      </c>
      <c r="C19" s="244">
        <f>5*Assumptions!C7*(Assumptions!C15/100)*B19+Assumptions!C18*5+Assumptions!C19*5+Assumptions!C20*(1+1+1.1+1.15+1.2)+(Assumptions!C21-Assumptions!C22)</f>
        <v/>
      </c>
      <c r="D19" s="245">
        <f>'5-Year Comparison'!H23</f>
        <v/>
      </c>
      <c r="E19" s="245">
        <f>'5-Year Comparison'!H36</f>
        <v/>
      </c>
      <c r="F19" s="253">
        <f>C19-D19</f>
        <v/>
      </c>
      <c r="G19" s="253">
        <f>C19-E19</f>
        <v/>
      </c>
    </row>
    <row r="20" ht="15" customHeight="1" s="136">
      <c r="B20" s="247" t="n">
        <v>2.1</v>
      </c>
      <c r="C20" s="248">
        <f>5*Assumptions!C7*(Assumptions!C15/100)*B20+Assumptions!C18*5+Assumptions!C19*5+Assumptions!C20*(1+1+1.1+1.15+1.2)+(Assumptions!C21-Assumptions!C22)</f>
        <v/>
      </c>
      <c r="D20" s="248">
        <f>'5-Year Comparison'!H23</f>
        <v/>
      </c>
      <c r="E20" s="248">
        <f>'5-Year Comparison'!H36</f>
        <v/>
      </c>
      <c r="F20" s="254">
        <f>C20-D20</f>
        <v/>
      </c>
      <c r="G20" s="254">
        <f>C20-E20</f>
        <v/>
      </c>
    </row>
    <row r="21" ht="15" customHeight="1" s="136">
      <c r="B21" s="250" t="n">
        <v>2.2</v>
      </c>
      <c r="C21" s="251">
        <f>5*Assumptions!C7*(Assumptions!C15/100)*B21+Assumptions!C18*5+Assumptions!C19*5+Assumptions!C20*(1+1+1.1+1.15+1.2)+(Assumptions!C21-Assumptions!C22)</f>
        <v/>
      </c>
      <c r="D21" s="251">
        <f>'5-Year Comparison'!H23</f>
        <v/>
      </c>
      <c r="E21" s="251">
        <f>'5-Year Comparison'!H36</f>
        <v/>
      </c>
      <c r="F21" s="255">
        <f>C21-D21</f>
        <v/>
      </c>
      <c r="G21" s="255">
        <f>C21-E21</f>
        <v/>
      </c>
    </row>
    <row r="22" ht="15" customHeight="1" s="136">
      <c r="B22" s="247" t="n">
        <v>2.3</v>
      </c>
      <c r="C22" s="248">
        <f>5*Assumptions!C7*(Assumptions!C15/100)*B22+Assumptions!C18*5+Assumptions!C19*5+Assumptions!C20*(1+1+1.1+1.15+1.2)+(Assumptions!C21-Assumptions!C22)</f>
        <v/>
      </c>
      <c r="D22" s="248">
        <f>'5-Year Comparison'!H23</f>
        <v/>
      </c>
      <c r="E22" s="248">
        <f>'5-Year Comparison'!H36</f>
        <v/>
      </c>
      <c r="F22" s="254">
        <f>C22-D22</f>
        <v/>
      </c>
      <c r="G22" s="254">
        <f>C22-E22</f>
        <v/>
      </c>
    </row>
    <row r="23" ht="15" customHeight="1" s="136">
      <c r="B23" s="250" t="n">
        <v>2.4</v>
      </c>
      <c r="C23" s="251">
        <f>5*Assumptions!C7*(Assumptions!C15/100)*B23+Assumptions!C18*5+Assumptions!C19*5+Assumptions!C20*(1+1+1.1+1.15+1.2)+(Assumptions!C21-Assumptions!C22)</f>
        <v/>
      </c>
      <c r="D23" s="251">
        <f>'5-Year Comparison'!H23</f>
        <v/>
      </c>
      <c r="E23" s="251">
        <f>'5-Year Comparison'!H36</f>
        <v/>
      </c>
      <c r="F23" s="255">
        <f>C23-D23</f>
        <v/>
      </c>
      <c r="G23" s="255">
        <f>C23-E23</f>
        <v/>
      </c>
    </row>
    <row r="24" ht="15" customHeight="1" s="136">
      <c r="B24" s="247" t="n">
        <v>2.53</v>
      </c>
      <c r="C24" s="248">
        <f>5*Assumptions!C7*(Assumptions!C15/100)*B24+Assumptions!C18*5+Assumptions!C19*5+Assumptions!C20*(1+1+1.1+1.15+1.2)+(Assumptions!C21-Assumptions!C22)</f>
        <v/>
      </c>
      <c r="D24" s="248">
        <f>'5-Year Comparison'!H23</f>
        <v/>
      </c>
      <c r="E24" s="248">
        <f>'5-Year Comparison'!H36</f>
        <v/>
      </c>
      <c r="F24" s="254">
        <f>C24-D24</f>
        <v/>
      </c>
      <c r="G24" s="254">
        <f>C24-E24</f>
        <v/>
      </c>
    </row>
    <row r="25" ht="15" customHeight="1" s="136">
      <c r="B25" s="250" t="n">
        <v>2.7</v>
      </c>
      <c r="C25" s="251">
        <f>5*Assumptions!C7*(Assumptions!C15/100)*B25+Assumptions!C18*5+Assumptions!C19*5+Assumptions!C20*(1+1+1.1+1.15+1.2)+(Assumptions!C21-Assumptions!C22)</f>
        <v/>
      </c>
      <c r="D25" s="251">
        <f>'5-Year Comparison'!H23</f>
        <v/>
      </c>
      <c r="E25" s="251">
        <f>'5-Year Comparison'!H36</f>
        <v/>
      </c>
      <c r="F25" s="255">
        <f>C25-D25</f>
        <v/>
      </c>
      <c r="G25" s="255">
        <f>C25-E25</f>
        <v/>
      </c>
    </row>
    <row r="26" ht="15" customHeight="1" s="136">
      <c r="B26" s="247" t="n">
        <v>2.9</v>
      </c>
      <c r="C26" s="248">
        <f>5*Assumptions!C7*(Assumptions!C15/100)*B26+Assumptions!C18*5+Assumptions!C19*5+Assumptions!C20*(1+1+1.1+1.15+1.2)+(Assumptions!C21-Assumptions!C22)</f>
        <v/>
      </c>
      <c r="D26" s="248">
        <f>'5-Year Comparison'!H23</f>
        <v/>
      </c>
      <c r="E26" s="248">
        <f>'5-Year Comparison'!H36</f>
        <v/>
      </c>
      <c r="F26" s="254">
        <f>C26-D26</f>
        <v/>
      </c>
      <c r="G26" s="254">
        <f>C26-E26</f>
        <v/>
      </c>
    </row>
    <row r="28" ht="15.75" customHeight="1" s="136">
      <c r="B28" s="165" t="inlineStr">
        <is>
          <t>KEY INSIGHT</t>
        </is>
      </c>
    </row>
    <row r="29" ht="15" customHeight="1" s="136">
      <c r="B29" s="256" t="inlineStr">
        <is>
          <t>Every €0.10/L increase adds ~€750/year to Picasso costs. EV costs don't change.</t>
        </is>
      </c>
    </row>
    <row r="30" ht="15" customHeight="1" s="136">
      <c r="B30" s="257" t="inlineStr">
        <is>
          <t>At your current €2.00/L, the large EV saves ~€18,000 over 5 years.</t>
        </is>
      </c>
    </row>
    <row r="31" ht="15" customHeight="1" s="136">
      <c r="B31" s="257" t="inlineStr">
        <is>
          <t>If fuel rises to €2.53/L again, savings jump to ~€22,000+.</t>
        </is>
      </c>
    </row>
    <row r="32" ht="15" customHeight="1" s="136">
      <c r="B32" s="258" t="inlineStr">
        <is>
          <t>Fuel prices can only go up from €2.00 — every increase makes the EV case stronger.</t>
        </is>
      </c>
    </row>
    <row r="34" ht="15.75" customHeight="1" s="136">
      <c r="B34" s="165" t="inlineStr">
        <is>
          <t>YOUR FUEL USAGE CROSS-CHECK</t>
        </is>
      </c>
    </row>
    <row r="35" ht="15" customHeight="1" s="136">
      <c r="B35" s="257" t="inlineStr">
        <is>
          <t>Tank size:</t>
        </is>
      </c>
      <c r="C35" s="259" t="n">
        <v>50</v>
      </c>
      <c r="D35" s="257" t="inlineStr">
        <is>
          <t>litres</t>
        </is>
      </c>
    </row>
    <row r="36" ht="15" customHeight="1" s="136">
      <c r="B36" s="257" t="inlineStr">
        <is>
          <t>Fill-ups per year:</t>
        </is>
      </c>
      <c r="C36" s="259" t="n">
        <v>26</v>
      </c>
      <c r="D36" s="164" t="inlineStr">
        <is>
          <t>(every 2 weeks)</t>
        </is>
      </c>
    </row>
    <row r="37" ht="15" customHeight="1" s="136">
      <c r="B37" s="256" t="inlineStr">
        <is>
          <t>Annual litres used:</t>
        </is>
      </c>
      <c r="C37" s="260">
        <f>C35*C36</f>
        <v/>
      </c>
      <c r="D37" s="257" t="inlineStr">
        <is>
          <t>litres</t>
        </is>
      </c>
    </row>
    <row r="38" ht="15" customHeight="1" s="136">
      <c r="B38" s="256" t="inlineStr">
        <is>
          <t>Implied annual km (NL driving):</t>
        </is>
      </c>
      <c r="C38" s="260">
        <f>C37/(Assumptions!C15/100)</f>
        <v/>
      </c>
      <c r="D38" s="257" t="inlineStr">
        <is>
          <t>km</t>
        </is>
      </c>
    </row>
    <row r="39" ht="15" customHeight="1" s="136">
      <c r="B39" s="257" t="inlineStr">
        <is>
          <t>Your stated total annual km:</t>
        </is>
      </c>
      <c r="C39" s="261">
        <f>Assumptions!C7</f>
        <v/>
      </c>
      <c r="D39" s="257" t="inlineStr">
        <is>
          <t>km</t>
        </is>
      </c>
    </row>
    <row r="40" ht="15" customHeight="1" s="136">
      <c r="B40" s="256" t="inlineStr">
        <is>
          <t>Vacation driving (cheaper foreign fuel):</t>
        </is>
      </c>
      <c r="C40" s="262">
        <f>C39-C38</f>
        <v/>
      </c>
      <c r="D40" s="164" t="inlineStr">
        <is>
          <t>km — fuelled in UK/Belgium at lower prices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ED7D31"/>
    <outlinePr summaryBelow="1" summaryRight="1"/>
    <pageSetUpPr fitToPage="0"/>
  </sheetPr>
  <dimension ref="B1:E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35" min="1" max="1"/>
    <col width="28" customWidth="1" style="135" min="2" max="2"/>
    <col width="18" customWidth="1" style="135" min="3" max="4"/>
    <col width="40" customWidth="1" style="135" min="5" max="5"/>
  </cols>
  <sheetData>
    <row r="1" ht="19.5" customHeight="1" s="136">
      <c r="B1" s="163" t="inlineStr">
        <is>
          <t>Selling Your Citroën Grand C4 Picasso</t>
        </is>
      </c>
    </row>
    <row r="2" ht="15" customHeight="1" s="136">
      <c r="B2" s="164" t="inlineStr">
        <is>
          <t>2017 | 1.2 PureTech | ~174,000 km | Registration: H416GS</t>
        </is>
      </c>
    </row>
    <row r="4" ht="15.75" customHeight="1" s="136">
      <c r="B4" s="165" t="inlineStr">
        <is>
          <t>WHAT YOU CAN EXPECT TO GET</t>
        </is>
      </c>
    </row>
    <row r="5" ht="15" customHeight="1" s="136">
      <c r="B5" s="166" t="inlineStr">
        <is>
          <t>Selling method</t>
        </is>
      </c>
      <c r="C5" s="166" t="inlineStr">
        <is>
          <t>Expected price</t>
        </is>
      </c>
      <c r="D5" s="166" t="inlineStr">
        <is>
          <t>Timeframe</t>
        </is>
      </c>
      <c r="E5" s="166" t="inlineStr">
        <is>
          <t>Notes</t>
        </is>
      </c>
    </row>
    <row r="6" ht="27.75" customHeight="1" s="136">
      <c r="B6" s="170" t="inlineStr">
        <is>
          <t>Private sale (Marktplaats)</t>
        </is>
      </c>
      <c r="C6" s="263" t="inlineStr">
        <is>
          <t>€5,500 – 7,500</t>
        </is>
      </c>
      <c r="D6" s="171" t="inlineStr">
        <is>
          <t>2-6 weeks</t>
        </is>
      </c>
      <c r="E6" s="172" t="inlineStr">
        <is>
          <t>Best price but most effort. High mileage + overdue belt will attract negotiation</t>
        </is>
      </c>
    </row>
    <row r="7" ht="27.75" customHeight="1" s="136">
      <c r="B7" s="178" t="inlineStr">
        <is>
          <t>Private sale (AutoScout24)</t>
        </is>
      </c>
      <c r="C7" s="177" t="inlineStr">
        <is>
          <t>€5,500 – 7,500</t>
        </is>
      </c>
      <c r="D7" s="177" t="inlineStr">
        <is>
          <t>2-6 weeks</t>
        </is>
      </c>
      <c r="E7" s="178" t="inlineStr">
        <is>
          <t>Same as Marktplaats; list on both for wider reach</t>
        </is>
      </c>
    </row>
    <row r="8" ht="27.75" customHeight="1" s="136">
      <c r="B8" s="175" t="inlineStr">
        <is>
          <t>Online buying service</t>
        </is>
      </c>
      <c r="C8" s="174" t="inlineStr">
        <is>
          <t>€4,500 – 6,000</t>
        </is>
      </c>
      <c r="D8" s="174" t="inlineStr">
        <is>
          <t>24-48 hours</t>
        </is>
      </c>
      <c r="E8" s="175" t="inlineStr">
        <is>
          <t>Ikwilvanmijnautoaf.nl, Wijkopenautos.nl — fast, fair, lower for high-km cars</t>
        </is>
      </c>
    </row>
    <row r="9" ht="27.75" customHeight="1" s="136">
      <c r="B9" s="178" t="inlineStr">
        <is>
          <t>Dealer trade-in</t>
        </is>
      </c>
      <c r="C9" s="177" t="inlineStr">
        <is>
          <t>€3,500 – 5,000</t>
        </is>
      </c>
      <c r="D9" s="177" t="inlineStr">
        <is>
          <t>Same day</t>
        </is>
      </c>
      <c r="E9" s="178" t="inlineStr">
        <is>
          <t>Easiest but worst deal. Only if buying from that dealer</t>
        </is>
      </c>
    </row>
    <row r="10" ht="27.75" customHeight="1" s="136"/>
    <row r="11" ht="27.75" customHeight="1" s="136">
      <c r="B11" s="165" t="inlineStr">
        <is>
          <t>THE TIMING BELT QUESTION</t>
        </is>
      </c>
    </row>
    <row r="12" ht="27.75" customHeight="1" s="136">
      <c r="B12" s="166" t="inlineStr">
        <is>
          <t>Option</t>
        </is>
      </c>
      <c r="C12" s="166" t="inlineStr">
        <is>
          <t>Cost / Impact</t>
        </is>
      </c>
      <c r="D12" s="166" t="inlineStr">
        <is>
          <t>Net Effect</t>
        </is>
      </c>
      <c r="E12" s="166" t="inlineStr">
        <is>
          <t>Verdict</t>
        </is>
      </c>
    </row>
    <row r="13" ht="27.75" customHeight="1" s="136">
      <c r="B13" s="181" t="inlineStr">
        <is>
          <t>Replace belt, then sell</t>
        </is>
      </c>
      <c r="C13" s="180" t="inlineStr">
        <is>
          <t>Costs you €700</t>
        </is>
      </c>
      <c r="D13" s="180" t="inlineStr">
        <is>
          <t>Adds ~€200-400 to sale price</t>
        </is>
      </c>
      <c r="E13" s="179" t="inlineStr">
        <is>
          <t>You lose €300-500. Don't do this.</t>
        </is>
      </c>
    </row>
    <row r="14" ht="27.75" customHeight="1" s="136">
      <c r="B14" s="172" t="inlineStr">
        <is>
          <t>Sell with belt due/overdue</t>
        </is>
      </c>
      <c r="C14" s="171" t="inlineStr">
        <is>
          <t>Costs you €0</t>
        </is>
      </c>
      <c r="D14" s="171" t="inlineStr">
        <is>
          <t>Buyers knock €300-500 off</t>
        </is>
      </c>
      <c r="E14" s="170" t="inlineStr">
        <is>
          <t>Better outcome. Be upfront about it.</t>
        </is>
      </c>
    </row>
    <row r="15" ht="27.75" customHeight="1" s="136"/>
    <row r="16" ht="27.75" customHeight="1" s="136">
      <c r="B16" s="165" t="inlineStr">
        <is>
          <t>WHAT AFFECTS YOUR SALE PRICE</t>
        </is>
      </c>
    </row>
    <row r="17" ht="27.75" customHeight="1" s="136">
      <c r="B17" s="166" t="inlineStr">
        <is>
          <t>Factor</t>
        </is>
      </c>
      <c r="C17" s="166" t="inlineStr">
        <is>
          <t>Impact</t>
        </is>
      </c>
      <c r="D17" s="166" t="inlineStr">
        <is>
          <t>Your situation</t>
        </is>
      </c>
      <c r="E17" s="166" t="inlineStr">
        <is>
          <t>Action needed</t>
        </is>
      </c>
    </row>
    <row r="18" ht="27.75" customHeight="1" s="136">
      <c r="B18" s="167" t="inlineStr">
        <is>
          <t>Timing belt status</t>
        </is>
      </c>
      <c r="C18" s="264" t="inlineStr">
        <is>
          <t>CRITICAL</t>
        </is>
      </c>
      <c r="D18" s="169" t="inlineStr">
        <is>
          <t>Severely overdue at 174k km — buyers will discount heavily</t>
        </is>
      </c>
      <c r="E18" s="169" t="inlineStr">
        <is>
          <t>Be upfront. Price already reflects it.</t>
        </is>
      </c>
    </row>
    <row r="19" ht="27.75" customHeight="1" s="136">
      <c r="B19" s="178" t="inlineStr">
        <is>
          <t>APK (MOT) status</t>
        </is>
      </c>
      <c r="C19" s="265" t="inlineStr">
        <is>
          <t>High</t>
        </is>
      </c>
      <c r="D19" s="178" t="inlineStr">
        <is>
          <t>Check if current — expiry date?</t>
        </is>
      </c>
      <c r="E19" s="178" t="inlineStr">
        <is>
          <t>Get APK done if expiring (costs €30-60)</t>
        </is>
      </c>
    </row>
    <row r="20" ht="27.75" customHeight="1" s="136">
      <c r="B20" s="175" t="inlineStr">
        <is>
          <t>Service history</t>
        </is>
      </c>
      <c r="C20" s="266" t="inlineStr">
        <is>
          <t>High</t>
        </is>
      </c>
      <c r="D20" s="175" t="inlineStr">
        <is>
          <t>Is it complete?</t>
        </is>
      </c>
      <c r="E20" s="175" t="inlineStr">
        <is>
          <t>Gather all records, invoices, stamps</t>
        </is>
      </c>
    </row>
    <row r="21" ht="27.75" customHeight="1" s="136">
      <c r="B21" s="178" t="inlineStr">
        <is>
          <t>Mileage</t>
        </is>
      </c>
      <c r="C21" s="265" t="inlineStr">
        <is>
          <t>Moderate</t>
        </is>
      </c>
      <c r="D21" s="178" t="inlineStr">
        <is>
          <t>174,000 km — high for a 2017</t>
        </is>
      </c>
      <c r="E21" s="178" t="inlineStr">
        <is>
          <t>Expect buyers to use this as negotiation leverage</t>
        </is>
      </c>
    </row>
    <row r="22" ht="27.75" customHeight="1" s="136">
      <c r="B22" s="175" t="inlineStr">
        <is>
          <t>Cosmetic condition</t>
        </is>
      </c>
      <c r="C22" s="266" t="inlineStr">
        <is>
          <t>Moderate</t>
        </is>
      </c>
      <c r="D22" s="175" t="inlineStr">
        <is>
          <t>Assumed good</t>
        </is>
      </c>
      <c r="E22" s="175" t="inlineStr">
        <is>
          <t>Clean inside and out before photos</t>
        </is>
      </c>
    </row>
    <row r="23" ht="27.75" customHeight="1" s="136">
      <c r="B23" s="178" t="inlineStr">
        <is>
          <t>Season</t>
        </is>
      </c>
      <c r="C23" s="265" t="inlineStr">
        <is>
          <t>Moderate</t>
        </is>
      </c>
      <c r="D23" s="178" t="inlineStr">
        <is>
          <t>March 2026 — perfect timing!</t>
        </is>
      </c>
      <c r="E23" s="178" t="inlineStr">
        <is>
          <t>Spring is best for family cars</t>
        </is>
      </c>
    </row>
    <row r="24" ht="27.75" customHeight="1" s="136">
      <c r="B24" s="175" t="inlineStr">
        <is>
          <t>Number of owners</t>
        </is>
      </c>
      <c r="C24" s="266" t="inlineStr">
        <is>
          <t>Low</t>
        </is>
      </c>
      <c r="D24" s="175" t="inlineStr">
        <is>
          <t>Check via RDW.nl</t>
        </is>
      </c>
      <c r="E24" s="175" t="inlineStr">
        <is>
          <t>Fewer owners = better</t>
        </is>
      </c>
    </row>
    <row r="26" ht="15.75" customHeight="1" s="136">
      <c r="B26" s="165" t="inlineStr">
        <is>
          <t>SELLING CHECKLIST</t>
        </is>
      </c>
    </row>
    <row r="27" ht="15" customHeight="1" s="136">
      <c r="B27" s="175" t="inlineStr">
        <is>
          <t>1. Check APK expiry date (RDW.nl) — renew if expiring within 2 months (€30-60)</t>
        </is>
      </c>
      <c r="C27" s="183" t="n"/>
      <c r="D27" s="183" t="n"/>
      <c r="E27" s="184" t="n"/>
    </row>
    <row r="28" ht="15" customHeight="1" s="136">
      <c r="B28" s="178" t="inlineStr">
        <is>
          <t>2. Gather full service history — invoices, stamp book, any recall paperwork</t>
        </is>
      </c>
      <c r="C28" s="183" t="n"/>
      <c r="D28" s="183" t="n"/>
      <c r="E28" s="184" t="n"/>
    </row>
    <row r="29" ht="15" customHeight="1" s="136">
      <c r="B29" s="175" t="inlineStr">
        <is>
          <t>3. Give it a proper clean — inside and out, including boot. First impressions matter.</t>
        </is>
      </c>
      <c r="C29" s="183" t="n"/>
      <c r="D29" s="183" t="n"/>
      <c r="E29" s="184" t="n"/>
    </row>
    <row r="30" ht="15" customHeight="1" s="136">
      <c r="B30" s="178" t="inlineStr">
        <is>
          <t>4. Take good photos — daylight, clean background, show interior, boot, dashboard, engine bay</t>
        </is>
      </c>
      <c r="C30" s="183" t="n"/>
      <c r="D30" s="183" t="n"/>
      <c r="E30" s="184" t="n"/>
    </row>
    <row r="31" ht="15" customHeight="1" s="136">
      <c r="B31" s="175" t="inlineStr">
        <is>
          <t>5. List on both Marktplaats AND AutoScout24 for maximum reach</t>
        </is>
      </c>
      <c r="C31" s="183" t="n"/>
      <c r="D31" s="183" t="n"/>
      <c r="E31" s="184" t="n"/>
    </row>
    <row r="32" ht="15" customHeight="1" s="136">
      <c r="B32" s="178" t="inlineStr">
        <is>
          <t>6. Set asking price at €9,000-9,500 to leave room for negotiation down to €8,000-8,500</t>
        </is>
      </c>
      <c r="C32" s="183" t="n"/>
      <c r="D32" s="183" t="n"/>
      <c r="E32" s="184" t="n"/>
    </row>
    <row r="33" ht="15" customHeight="1" s="136">
      <c r="B33" s="175" t="inlineStr">
        <is>
          <t>7. Be honest about the timing belt — buyers who know PureTech will respect transparency</t>
        </is>
      </c>
      <c r="C33" s="183" t="n"/>
      <c r="D33" s="183" t="n"/>
      <c r="E33" s="184" t="n"/>
    </row>
    <row r="34" ht="15" customHeight="1" s="136">
      <c r="B34" s="178" t="inlineStr">
        <is>
          <t>8. Meanwhile, get a quick online quote from Ikwilvanmijnautoaf.nl as your fallback price</t>
        </is>
      </c>
      <c r="C34" s="183" t="n"/>
      <c r="D34" s="183" t="n"/>
      <c r="E34" s="184" t="n"/>
    </row>
    <row r="35" ht="15" customHeight="1" s="136">
      <c r="B35" s="175" t="inlineStr">
        <is>
          <t>9. When selling privately: both parties go to PostNL together to transfer registration</t>
        </is>
      </c>
      <c r="C35" s="183" t="n"/>
      <c r="D35" s="183" t="n"/>
      <c r="E35" s="184" t="n"/>
    </row>
    <row r="36" ht="15" customHeight="1" s="136">
      <c r="B36" s="176" t="inlineStr">
        <is>
          <t>10. Don't spend €700 on the timing belt. Sell as-is.</t>
        </is>
      </c>
      <c r="C36" s="183" t="n"/>
      <c r="D36" s="183" t="n"/>
      <c r="E36" s="184" t="n"/>
    </row>
  </sheetData>
  <mergeCells count="10">
    <mergeCell ref="B31:E31"/>
    <mergeCell ref="B27:E27"/>
    <mergeCell ref="B35:E35"/>
    <mergeCell ref="B30:E30"/>
    <mergeCell ref="B29:E29"/>
    <mergeCell ref="B33:E33"/>
    <mergeCell ref="B34:E34"/>
    <mergeCell ref="B28:E28"/>
    <mergeCell ref="B36:E36"/>
    <mergeCell ref="B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2026-03-24T12:05:58Z</dcterms:created>
  <dcterms:modified xmlns:dcterms="http://purl.org/dc/terms/" xmlns:xsi="http://www.w3.org/2001/XMLSchema-instance" xsi:type="dcterms:W3CDTF">2026-04-08T18:20:15Z</dcterms:modified>
  <cp:revision>0</cp:revision>
</cp:coreProperties>
</file>